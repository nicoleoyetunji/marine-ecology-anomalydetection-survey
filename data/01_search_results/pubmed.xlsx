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bmed_citations" sheetId="1" r:id="rId5"/>
  </sheets>
  <definedNames/>
  <calcPr/>
</workbook>
</file>

<file path=xl/sharedStrings.xml><?xml version="1.0" encoding="utf-8"?>
<sst xmlns="http://schemas.openxmlformats.org/spreadsheetml/2006/main" count="32" uniqueCount="32">
  <si>
    <t>PMID</t>
  </si>
  <si>
    <t>Title</t>
  </si>
  <si>
    <t>Clean Title</t>
  </si>
  <si>
    <t>Authors</t>
  </si>
  <si>
    <t>Citation</t>
  </si>
  <si>
    <t>First Author</t>
  </si>
  <si>
    <t>Journal/Book</t>
  </si>
  <si>
    <t>Publication Year</t>
  </si>
  <si>
    <t>Create Date</t>
  </si>
  <si>
    <t>PMCID</t>
  </si>
  <si>
    <t>NIHMS ID</t>
  </si>
  <si>
    <t>DOI</t>
  </si>
  <si>
    <t>Using teacher-student neural networks based on knowledge distillation to detect anomalous samples in the otolith images</t>
  </si>
  <si>
    <t>Chen Y, Zhu G.</t>
  </si>
  <si>
    <t>Zoology (Jena). 2023 Dec;161:126133. doi: 10.1016/j.zool.2023.126133. Epub 2023 Nov 7.</t>
  </si>
  <si>
    <t>Chen Y</t>
  </si>
  <si>
    <t>Zoology (Jena)</t>
  </si>
  <si>
    <t>10.1016/j.zool.2023.126133</t>
  </si>
  <si>
    <t>RamEx: an R package for high-throughput microbial ramanome analyses with accurate quality assessment</t>
  </si>
  <si>
    <t>Zhang Y, Jing G, Chen R, Gong Y, Li Y, Wang Y, Wang X, Zhang J, Mao Y, He Y, Zheng X, Wang M, Yuan H, Xu J, Sun L.</t>
  </si>
  <si>
    <t>Microbiome. 2026 Feb 10;14(1):89. doi: 10.1186/s40168-026-02339-3.</t>
  </si>
  <si>
    <t>Zhang Y</t>
  </si>
  <si>
    <t>Microbiome</t>
  </si>
  <si>
    <t>PMC12990539</t>
  </si>
  <si>
    <t>10.1186/s40168-026-02339-3</t>
  </si>
  <si>
    <t>PhyloRef: A Semi-Automated Workflow for eDNA Reference Database Curation via Phylogenetic Anomaly Detection</t>
  </si>
  <si>
    <t>Mai Y, Li C.</t>
  </si>
  <si>
    <t>Ecol Evol. 2026 Feb 26;16(3):e73159. doi: 10.1002/ece3.73159. eCollection 2026 Mar.</t>
  </si>
  <si>
    <t>Mai Y</t>
  </si>
  <si>
    <t>Ecol Evol</t>
  </si>
  <si>
    <t>PMC12946455</t>
  </si>
  <si>
    <t>10.1002/ece3.73159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</si>
</sst>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yyyy/mm/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3.7979211E7</v>
      </c>
      <c r="B2" s="1" t="s">
        <v>12</v>
      </c>
      <c r="C2" s="1" t="str">
        <f>IFERROR(__xludf.DUMMYFUNCTION("LOWER(TRIM(REGEXREPLACE(B2, ""[[:punct:]]"", """")))"),"using teacherstudent neural networks based on knowledge distillation to detect anomalous samples in the otolith images")</f>
        <v>using teacherstudent neural networks based on knowledge distillation to detect anomalous samples in the otolith images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2023.0</v>
      </c>
      <c r="I2" s="2">
        <v>45248.0</v>
      </c>
      <c r="L2" s="1" t="s">
        <v>17</v>
      </c>
    </row>
    <row r="3">
      <c r="A3" s="1">
        <v>4.1668183E7</v>
      </c>
      <c r="B3" s="1" t="s">
        <v>18</v>
      </c>
      <c r="C3" s="1" t="str">
        <f>IFERROR(__xludf.DUMMYFUNCTION("LOWER(TRIM(REGEXREPLACE(B3, ""[[:punct:]]"", """")))"),"ramex an r package for highthroughput microbial ramanome analyses with accurate quality assessment")</f>
        <v>ramex an r package for highthroughput microbial ramanome analyses with accurate quality assessment</v>
      </c>
      <c r="D3" s="1" t="s">
        <v>19</v>
      </c>
      <c r="E3" s="1" t="s">
        <v>20</v>
      </c>
      <c r="F3" s="1" t="s">
        <v>21</v>
      </c>
      <c r="G3" s="1" t="s">
        <v>22</v>
      </c>
      <c r="H3" s="1">
        <v>2026.0</v>
      </c>
      <c r="I3" s="3">
        <v>46063.0</v>
      </c>
      <c r="J3" s="1" t="s">
        <v>23</v>
      </c>
      <c r="L3" s="1" t="s">
        <v>24</v>
      </c>
    </row>
    <row r="4">
      <c r="A4" s="1">
        <v>4.1766741E7</v>
      </c>
      <c r="B4" s="1" t="s">
        <v>25</v>
      </c>
      <c r="C4" s="1" t="str">
        <f>IFERROR(__xludf.DUMMYFUNCTION("LOWER(TRIM(REGEXREPLACE(B4, ""[[:punct:]]"", """")))"),"phyloref a semiautomated workflow for edna reference database curation via phylogenetic anomaly detection")</f>
        <v>phyloref a semiautomated workflow for edna reference database curation via phylogenetic anomaly detection</v>
      </c>
      <c r="D4" s="1" t="s">
        <v>26</v>
      </c>
      <c r="E4" s="1" t="s">
        <v>27</v>
      </c>
      <c r="F4" s="1" t="s">
        <v>28</v>
      </c>
      <c r="G4" s="1" t="s">
        <v>29</v>
      </c>
      <c r="H4" s="1">
        <v>2026.0</v>
      </c>
      <c r="I4" s="3">
        <v>46083.0</v>
      </c>
      <c r="J4" s="1" t="s">
        <v>30</v>
      </c>
      <c r="L4" s="1" t="s">
        <v>31</v>
      </c>
    </row>
  </sheetData>
  <drawing r:id="rId1"/>
</worksheet>
</file>