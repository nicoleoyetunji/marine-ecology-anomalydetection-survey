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vedrecs" sheetId="1" r:id="rId5"/>
  </sheets>
  <definedNames/>
  <calcPr/>
</workbook>
</file>

<file path=xl/sharedStrings.xml><?xml version="1.0" encoding="utf-8"?>
<sst xmlns="http://schemas.openxmlformats.org/spreadsheetml/2006/main" count="1134" uniqueCount="226">
  <si>
    <t>Publication Type</t>
  </si>
  <si>
    <t>Authors</t>
  </si>
  <si>
    <t>Book Authors</t>
  </si>
  <si>
    <t>Book Editors</t>
  </si>
  <si>
    <t>Book Group Authors</t>
  </si>
  <si>
    <t>Author Full Names</t>
  </si>
  <si>
    <t>Book Author Full Names</t>
  </si>
  <si>
    <t>Group Authors</t>
  </si>
  <si>
    <t>Article Title</t>
  </si>
  <si>
    <t>Cleaned Title</t>
  </si>
  <si>
    <t>Source Title</t>
  </si>
  <si>
    <t>Book Series Title</t>
  </si>
  <si>
    <t>Book Series Subtitle</t>
  </si>
  <si>
    <t>Language</t>
  </si>
  <si>
    <t>Document Type</t>
  </si>
  <si>
    <t>Conference Title</t>
  </si>
  <si>
    <t>Conference Date</t>
  </si>
  <si>
    <t>Conference Location</t>
  </si>
  <si>
    <t>Conference Sponsor</t>
  </si>
  <si>
    <t>Conference Host</t>
  </si>
  <si>
    <t>Author Keywords</t>
  </si>
  <si>
    <t>Keywords Plus</t>
  </si>
  <si>
    <t>Abstract</t>
  </si>
  <si>
    <t>Addresses</t>
  </si>
  <si>
    <t>Affiliations</t>
  </si>
  <si>
    <t>Reprint Addresses</t>
  </si>
  <si>
    <t>Email Addresses</t>
  </si>
  <si>
    <t>Researcher Ids</t>
  </si>
  <si>
    <t>ORCIDs</t>
  </si>
  <si>
    <t>Funding Orgs</t>
  </si>
  <si>
    <t>Funding Name Preferred</t>
  </si>
  <si>
    <t>Funding Text</t>
  </si>
  <si>
    <t>Cited References</t>
  </si>
  <si>
    <t>Cited Reference Count</t>
  </si>
  <si>
    <t>Times Cited, WoS Core</t>
  </si>
  <si>
    <t>Times Cited, All Databases</t>
  </si>
  <si>
    <t>180 Day Usage Count</t>
  </si>
  <si>
    <t>Since 2013 Usage Count</t>
  </si>
  <si>
    <t>Publisher</t>
  </si>
  <si>
    <t>Publisher City</t>
  </si>
  <si>
    <t>Publisher Address</t>
  </si>
  <si>
    <t>ISSN</t>
  </si>
  <si>
    <t>eISSN</t>
  </si>
  <si>
    <t>ISBN</t>
  </si>
  <si>
    <t>Journal Abbreviation</t>
  </si>
  <si>
    <t>Journal ISO Abbreviation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</si>
  <si>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</si>
  <si>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</si>
  <si>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</si>
  <si>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</si>
  <si>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</si>
  <si>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</si>
  <si>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</si>
  <si>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Meeting Abstract</t>
  </si>
  <si>
    <t>Start Page</t>
  </si>
  <si>
    <t>End Page</t>
  </si>
  <si>
    <t>Article Number</t>
  </si>
  <si>
    <t>DOI</t>
  </si>
  <si>
    <t>DOI Link</t>
  </si>
  <si>
    <t>Book DOI</t>
  </si>
  <si>
    <t>Early Access Date</t>
  </si>
  <si>
    <t>Number of Pages</t>
  </si>
  <si>
    <t>WoS Categories</t>
  </si>
  <si>
    <t>Web of Science Index</t>
  </si>
  <si>
    <t>Research Areas</t>
  </si>
  <si>
    <t>IDS Number</t>
  </si>
  <si>
    <t>Pubmed Id</t>
  </si>
  <si>
    <t>Open Access Designations</t>
  </si>
  <si>
    <t>Highly Cited Status</t>
  </si>
  <si>
    <t>Hot Paper Status</t>
  </si>
  <si>
    <t>Date of Export</t>
  </si>
  <si>
    <t>UT (Unique WOS ID)</t>
  </si>
  <si>
    <t>Web of Science Record</t>
  </si>
  <si>
    <t>J</t>
  </si>
  <si>
    <t>Du, LB; Liu, MY; Lv, ZC; Tan, CH; He, JK; Yu, F</t>
  </si>
  <si>
    <t/>
  </si>
  <si>
    <t>Du, Libin; Liu, Mingyang; Lv, Zhichao; Tan, Chuanhe; He, Junkai; Yu, Fei</t>
  </si>
  <si>
    <t>An End-to-End Ocean Environmental Noise Anomaly Detection Framework Combining Time-Frequency Information and Expert Gating</t>
  </si>
  <si>
    <t>JOURNAL OF MARINE SCIENCE AND ENGINEERING</t>
  </si>
  <si>
    <t>yu, fei/MEQ-2647-2025</t>
  </si>
  <si>
    <t>2077-1312</t>
  </si>
  <si>
    <t>JAN</t>
  </si>
  <si>
    <t>10.3390/jmse13010141</t>
  </si>
  <si>
    <t>WOS:001404229900001</t>
  </si>
  <si>
    <t>Peng, M; Song, X; Zuo, QY; Xu, SY; Yue, Y</t>
  </si>
  <si>
    <t>Peng, Mingjv; Song, Xin; Zuo, Qiyue; Xu, Siyang; Yue, Yang</t>
  </si>
  <si>
    <t>HPL-CLIP: hyperbolic prompt learning for zero-shot anomaly detection</t>
  </si>
  <si>
    <t>MEASUREMENT SCIENCE AND TECHNOLOGY</t>
  </si>
  <si>
    <t>Peng, Mingju/0000-0002-7431-0023; yue, yang/0009-0008-2367-8304</t>
  </si>
  <si>
    <t>0957-0233</t>
  </si>
  <si>
    <t>1361-6501</t>
  </si>
  <si>
    <t>JUL 17</t>
  </si>
  <si>
    <t>10.1088/1361-6501/ae8713</t>
  </si>
  <si>
    <t>WOS:001820947300001</t>
  </si>
  <si>
    <t>Song, MP; Guo, ZY; Li, L; Liu, SH; Bao, HM; Li, JK</t>
  </si>
  <si>
    <t>Song, Meiping; Guo, Zhenyu; Li, Lan; Liu, Shihui; Bao, Haimo; Li, Jiakang</t>
  </si>
  <si>
    <t>Global Information and Structure Tensor Guided Collaborative Representation for Anomaly Detection</t>
  </si>
  <si>
    <t>IEEE JOURNAL OF SELECTED TOPICS IN APPLIED EARTH OBSERVATIONS AND REMOTE SENSING</t>
  </si>
  <si>
    <t>Liu, Shihui/0000-0002-6697-7899; LI, Jiakang/0009-0007-6843-0233; Guo, Zhenyu/0009-0000-4978-7914; Li, Lan/0000-0002-3175-4169</t>
  </si>
  <si>
    <t>1939-1404</t>
  </si>
  <si>
    <t>2151-1535</t>
  </si>
  <si>
    <t>10.1109/JSTARS.2024.3506116</t>
  </si>
  <si>
    <t>WOS:001398107400002</t>
  </si>
  <si>
    <t>Siddagangaiah, S</t>
  </si>
  <si>
    <t>Siddagangaiah, Shashidhar</t>
  </si>
  <si>
    <t>Marine soundscape forecasting: A deep learning-based approach</t>
  </si>
  <si>
    <t>ECOLOGICAL INFORMATICS</t>
  </si>
  <si>
    <t>siddagangaiah, shashidhar/LGY-8132-2024</t>
  </si>
  <si>
    <t>Siddagangaiah, Shashidhar/0000-0001-7248-6538</t>
  </si>
  <si>
    <t>1574-9541</t>
  </si>
  <si>
    <t>1878-0512</t>
  </si>
  <si>
    <t>NOV</t>
  </si>
  <si>
    <t>10.1016/j.ecoinf.2025.103189</t>
  </si>
  <si>
    <t>MAY 2025</t>
  </si>
  <si>
    <t>WOS:001498526900001</t>
  </si>
  <si>
    <t>Minglong, W; Feng, Z; Hu, J</t>
  </si>
  <si>
    <t>Minglong, Wang; Feng, Zhu; Hu, Jian</t>
  </si>
  <si>
    <t>A machine learning-driven framework for enhancing underwater visual signal processing in marine ecosystem economic monitoring and anthropogenic impact assessment</t>
  </si>
  <si>
    <t>FRONTIERS IN ENVIRONMENTAL SCIENCE</t>
  </si>
  <si>
    <t>2296-665X</t>
  </si>
  <si>
    <t>JAN 2</t>
  </si>
  <si>
    <t>10.3389/fenvs.2025.1689855</t>
  </si>
  <si>
    <t>WOS:001661951800001</t>
  </si>
  <si>
    <t>Mai, Y; Li, CH</t>
  </si>
  <si>
    <t>Mai, Yan; Li, Chenhong</t>
  </si>
  <si>
    <t>PhyloRef: A Semi-Automated Workflow for eDNA Reference Database Curation via Phylogenetic Anomaly Detection</t>
  </si>
  <si>
    <t>ECOLOGY AND EVOLUTION</t>
  </si>
  <si>
    <t>mai, yan/0009-0008-3065-6269; Li, Chenhong/0000-0003-3075-1756</t>
  </si>
  <si>
    <t>2045-7758</t>
  </si>
  <si>
    <t>FEB 26</t>
  </si>
  <si>
    <t>e73159</t>
  </si>
  <si>
    <t>10.1002/ece3.73159</t>
  </si>
  <si>
    <t>WOS:001703878400001</t>
  </si>
  <si>
    <t>Kapoor, C; Singh, B; Popli, NK; Mamun, M</t>
  </si>
  <si>
    <t>Kapoor, Chinmay; Singh, Bhan; Popli, Navneet Kaur; Mamun, Mohammad</t>
  </si>
  <si>
    <t>FUSTT: Forecasting Using Spatio-Temporal Transformers for Predicting Marine Stressors of Blue-Carbon Ecosystems</t>
  </si>
  <si>
    <t>; Khan Mamun, Mohammad Mahbubur Rahman/ABD-9074-2021</t>
  </si>
  <si>
    <t>Popli, Navneet Kaur/0009-0004-8040-0721;</t>
  </si>
  <si>
    <t>10.1109/JSTARS.2025.3634525</t>
  </si>
  <si>
    <t>WOS:001635914800002</t>
  </si>
  <si>
    <t>Staples, TL; Blois, J; Cramer, KL; Cunningham, ET; Dornelas, M; Haberle, SG; Heger, T; Kiessling, W; Magurran, AE; O'Dea, A; Penny, AM; Radeloff, VC; Smith, JA; Thuiller, W; Williams, JW; Pandolfi, JM</t>
  </si>
  <si>
    <t>Staples, Timothy L.; Blois, Jessica; Cramer, Katie L.; Cunningham, Emer T.; Dornelas, Maria; Haberle, Simon G.; Heger, Tina; Kiessling, Wolfgang; Magurran, Anne E.; O'Dea, Aaron; Penny, Amelia M.; Radeloff, Volker C.; Smith, Jansen A.; Thuiller, Wilfried; Williams, John W.; Pandolfi, John M.</t>
  </si>
  <si>
    <t>A Conceptual Framework for Measuring Ecological Novelty</t>
  </si>
  <si>
    <t>GLOBAL ECOLOGY AND BIOGEOGRAPHY</t>
  </si>
  <si>
    <t>Pandolfi, John/A-3121-2009; Williams, John/KBC-5275-2024; Cunningham, Emer/PXW-9020-2026; Heger, Tina/AAH-4802-2019; Dornelas, Maria/E-3595-2010; Kiessling, Wolfgang/E-2259-2015; Haberle, Simon/MZQ-3551-2025; O'Dea, Aaron/D-4114-2011; Staples, Timothy/AEI-0009-2022; Blois, Jessica/G-5893-2011; Thuiller, Wilfried/G-3283-2010; Radeloff, Volker/B-6124-2016; Smith, Jansen A/HLH-2529-2023; Magurran, Anne/D-7463-2013</t>
  </si>
  <si>
    <t>Cunningham, Emer/0000-0001-7756-3571; Heger, Tina/0000-0002-5522-5632; Penny, Amelia/0000-0002-4392-8090; Dornelas, Maria/0000-0003-2077-7055; Kiessling, Wolfgang/0000-0002-1088-2014; Haberle, Simon/0000-0001-5802-6535; O'Dea, Aaron/0000-0001-5495-4764; Staples, Timothy/0000-0002-8550-2661; Smith, Jansen A/0000-0003-3771-2039; Cramer, Katie/0000-0001-8760-180X; Magurran, Anne/0000-0002-0036-2795</t>
  </si>
  <si>
    <t>1466-822X</t>
  </si>
  <si>
    <t>1466-8238</t>
  </si>
  <si>
    <t>FEB 17</t>
  </si>
  <si>
    <t>e70005</t>
  </si>
  <si>
    <t>10.1111/geb.70005</t>
  </si>
  <si>
    <t>WOS:001422952600001</t>
  </si>
  <si>
    <t>Zaza, S; Atemkeng, M; Murray, TS; Filmalter, JD; Cowley, PD</t>
  </si>
  <si>
    <t>Zaza, Siphendulwe; Atemkeng, Marcellin; Murray, Taryn S.; Filmalter, John David; Cowley, Paul D.</t>
  </si>
  <si>
    <t>Unsupervised-explainable anomaly detection in large-scale estuarine acoustic telemetry data</t>
  </si>
  <si>
    <t>Murray, Taryn/M-4252-2017; Cowley, Paul/M-4264-2017</t>
  </si>
  <si>
    <t>Murray, Taryn/0000-0003-2694-7588; Atemkeng, Marcellin Teufack/0000-0002-9020-3885</t>
  </si>
  <si>
    <t>MAR</t>
  </si>
  <si>
    <t>10.1016/j.ecoinf.2026.103672</t>
  </si>
  <si>
    <t>WOS:001707396300001</t>
  </si>
  <si>
    <t>Chen, YW; Zhu, GP</t>
  </si>
  <si>
    <t>Chen, Yuwen; Zhu, Guoping</t>
  </si>
  <si>
    <t>Using teacher-student neural networks based on knowledge distillation to detect anomalous samples in the otolith images</t>
  </si>
  <si>
    <t>ZOOLOGY</t>
  </si>
  <si>
    <t>Zhu, Guoping/D-1002-2010</t>
  </si>
  <si>
    <t>Zhu, Guoping/0000-0001-6081-7811</t>
  </si>
  <si>
    <t>0944-2006</t>
  </si>
  <si>
    <t>1873-2720</t>
  </si>
  <si>
    <t>DEC</t>
  </si>
  <si>
    <t>10.1016/j.zool.2023.126133</t>
  </si>
  <si>
    <t>NOV 2023</t>
  </si>
  <si>
    <t>WOS:001146970900001</t>
  </si>
  <si>
    <t>Menelaou, A; Makrominas, M; Plomaritou, E; Hein, C</t>
  </si>
  <si>
    <t>Menelaou, Angelos; Makrominas, Michalis; Plomaritou, Evi; Hein, Carola</t>
  </si>
  <si>
    <t>Recalibrating Coastal and Marine Environmental Governance Through Integrated Data Infrastructures: The EMMERA Platform</t>
  </si>
  <si>
    <t>SUSTAINABILITY</t>
  </si>
  <si>
    <t>2071-1050</t>
  </si>
  <si>
    <t>JUL 13</t>
  </si>
  <si>
    <t>10.3390/su18147144</t>
  </si>
  <si>
    <t>JUL 2026</t>
  </si>
  <si>
    <t>WOS:001833515700001</t>
  </si>
  <si>
    <t>Bilik, S; Batrakhanov, D; Eerola, T; Haraguchi, L; Kraft, K; Van den Wyngaert, S; Kangas, J; Sjöqvist, C; Madsen, K; Lensu, L; Kälviäinen, H; Horak, K</t>
  </si>
  <si>
    <t>Bilik, Simon; Batrakhanov, Daniel; Eerola, Tuomas; Haraguchi, Lumi; Kraft, Kaisa; Van den Wyngaert, Silke; Kangas, Jonna; Sjoqvist, Conny; Madsen, Karin; Lensu, Lasse; Kalviainen, Heikki; Horak, Karel</t>
  </si>
  <si>
    <t>Toward phytoplankton parasite detection using autoencoders</t>
  </si>
  <si>
    <t>MACHINE VISION AND APPLICATIONS</t>
  </si>
  <si>
    <t>Haraguchi, Lumi/AAG-3716-2021; Sjöqvist, Conny/AAL-1053-2020; /J-5084-2016; Lensu, Lasse/F-7267-2012; Van den Wyngaert, Silke/JRY-5942-2023; Bilík, Šimon/JEP-7714-2023; Kraft, Kaisa/IQV-4258-2023</t>
  </si>
  <si>
    <t>Haraguchi, Lumi/0000-0001-6307-1808; Sjöqvist, Conny/0000-0003-2562-0217; Batrakhanov, Daniel/0000-0002-5559-6716; Kälviäinen, Heikki/0000-0002-0790-6847; Lensu, Lasse/0000-0002-7691-121X; Bilík, Šimon/0000-0001-8797-7700; Eerola, Tuomas/0000-0003-1352-0999; Kraft, Kaisa/0000-0001-6290-3887</t>
  </si>
  <si>
    <t>0932-8092</t>
  </si>
  <si>
    <t>1432-1769</t>
  </si>
  <si>
    <t>10.1007/s00138-023-01450-x</t>
  </si>
  <si>
    <t>WOS:001190983400001</t>
  </si>
  <si>
    <t>Syue, SH; Tsou, MC; Chen, TH</t>
  </si>
  <si>
    <t>Syue, Siang-Hua; Tsou, Ming-Cheng; Chen, Tzu-Hsun</t>
  </si>
  <si>
    <t>From VTS Monitoring to Smart Warnings: Big Data Applications in Channel Safety Management</t>
  </si>
  <si>
    <t>DEC 7</t>
  </si>
  <si>
    <t>10.3390/jmse13122324</t>
  </si>
  <si>
    <t>WOS:001647506200001</t>
  </si>
  <si>
    <t>Ioras, F; Bandara, I</t>
  </si>
  <si>
    <t>Ioras, Florin; Bandara, Indrachapa</t>
  </si>
  <si>
    <t>Artificial Intelligence and Sustainable Practices in Coastal Marinas: A Comparative Study of Monaco and Ibiza</t>
  </si>
  <si>
    <t>Ioras, Florin/F-5210-2011; Bnadara, Indrachapa/JZU-1113-2024</t>
  </si>
  <si>
    <t>Ioras, Florin/0000-0002-7697-3381; Bnadara, Indrachapa/0000-0003-3269-1531</t>
  </si>
  <si>
    <t>AUG 15</t>
  </si>
  <si>
    <t>10.3390/su17167404</t>
  </si>
  <si>
    <t>WOS:001558415500001</t>
  </si>
  <si>
    <t>Zhang, YM; Jing, GC; Chen, RZ; Gong, YH; Li, YD; Wang, YS; Wang, XX; Zhang, J; Mao, YL; He, YH; Zheng, XS; Wang, MC; Yuan, H; Xu, J; Sun, LY</t>
  </si>
  <si>
    <t>Zhang, Yanmei; Jing, Gongchao; Chen, Rongze; Gong, Yanhai; Li, Yuandong; Wang, Yongshun; Wang, Xixian; Zhang, Jia; Mao, Yuli; He, Yuehui; Zheng, Xiaoshan; Wang, Mingchao; Yuan, Hao; Xu, Jian; Sun, Luyang</t>
  </si>
  <si>
    <t>RamEx: an R package for high-throughput microbial ramanome analyses with accurate quality assessment</t>
  </si>
  <si>
    <t>MICROBIOME</t>
  </si>
  <si>
    <t>Sun, Luyang/PSL-6881-2026; gong, yanhai/IUM-7181-2023</t>
  </si>
  <si>
    <t>2049-2618</t>
  </si>
  <si>
    <t>FEB 10</t>
  </si>
  <si>
    <t>10.1186/s40168-026-02339-3</t>
  </si>
  <si>
    <t>WOS:001715751900002</t>
  </si>
  <si>
    <t>Mori, N; Kawatsu, K; Noriyuki, S; Kosilov, A; Martemyanov, V; Yamashita, M; Inoue, MN</t>
  </si>
  <si>
    <t>Mori, Natsumi; Kawatsu, Kazutaka; Noriyuki, Suzuki; Kosilov, Aleksey; Martemyanov, Vyacheslav; Yamashita, Megumi; Inoue, Maki N.</t>
  </si>
  <si>
    <t>Monitoring and prediction of the spongy moth ( Lymantria dispar ) outbreaks in Mountain ' s landscape using a combination of Sentinel-2 images and nonlinear time series model</t>
  </si>
  <si>
    <t>FOREST ECOLOGY AND MANAGEMENT</t>
  </si>
  <si>
    <t>Martemyanov, Vyacheslav/Q-7466-2016; INOUE, Maki/H-6581-2013; Yamashita, Megumi/B-7462-2015; Kawatsu, Kazutaka/B-1066-2010</t>
  </si>
  <si>
    <t>Yamashita, Megumi/0000-0002-0295-396X; Kawatsu, Kazutaka/0000-0003-4447-4761</t>
  </si>
  <si>
    <t>0378-1127</t>
  </si>
  <si>
    <t>1872-7042</t>
  </si>
  <si>
    <t>JUL 1</t>
  </si>
  <si>
    <t>10.1016/j.foreco.2024.121975</t>
  </si>
  <si>
    <t>MAY 2024</t>
  </si>
  <si>
    <t>WOS:001241742400001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</si>
</sst>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3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ht="12.75" customHeight="1">
      <c r="A2" s="1" t="s">
        <v>73</v>
      </c>
      <c r="B2" s="1" t="s">
        <v>74</v>
      </c>
      <c r="C2" s="1" t="s">
        <v>75</v>
      </c>
      <c r="D2" s="1" t="s">
        <v>75</v>
      </c>
      <c r="E2" s="1" t="s">
        <v>75</v>
      </c>
      <c r="F2" s="1" t="s">
        <v>76</v>
      </c>
      <c r="G2" s="1" t="s">
        <v>75</v>
      </c>
      <c r="H2" s="1" t="s">
        <v>75</v>
      </c>
      <c r="I2" s="1" t="s">
        <v>77</v>
      </c>
      <c r="J2" s="1" t="str">
        <f>IFERROR(__xludf.DUMMYFUNCTION("LOWER(TRIM(REGEXREPLACE(I2, ""[[:punct:]]"", """")))"),"an endtoend ocean environmental noise anomaly detection framework combining timefrequency information and expert gating")</f>
        <v>an endtoend ocean environmental noise anomaly detection framework combining timefrequency information and expert gating</v>
      </c>
      <c r="K2" s="1" t="s">
        <v>78</v>
      </c>
      <c r="L2" s="1" t="s">
        <v>75</v>
      </c>
      <c r="M2" s="1" t="s">
        <v>75</v>
      </c>
      <c r="N2" s="1" t="s">
        <v>75</v>
      </c>
      <c r="O2" s="1" t="s">
        <v>75</v>
      </c>
      <c r="P2" s="1" t="s">
        <v>75</v>
      </c>
      <c r="Q2" s="1" t="s">
        <v>75</v>
      </c>
      <c r="R2" s="1" t="s">
        <v>75</v>
      </c>
      <c r="S2" s="1" t="s">
        <v>75</v>
      </c>
      <c r="T2" s="1" t="s">
        <v>75</v>
      </c>
      <c r="U2" s="1" t="s">
        <v>75</v>
      </c>
      <c r="V2" s="1" t="s">
        <v>75</v>
      </c>
      <c r="W2" s="1" t="s">
        <v>75</v>
      </c>
      <c r="X2" s="1" t="s">
        <v>75</v>
      </c>
      <c r="Y2" s="1" t="s">
        <v>75</v>
      </c>
      <c r="Z2" s="1" t="s">
        <v>75</v>
      </c>
      <c r="AA2" s="1" t="s">
        <v>75</v>
      </c>
      <c r="AB2" s="1" t="s">
        <v>79</v>
      </c>
      <c r="AC2" s="1" t="s">
        <v>75</v>
      </c>
      <c r="AD2" s="1" t="s">
        <v>75</v>
      </c>
      <c r="AE2" s="1" t="s">
        <v>75</v>
      </c>
      <c r="AF2" s="1" t="s">
        <v>75</v>
      </c>
      <c r="AG2" s="1" t="s">
        <v>75</v>
      </c>
      <c r="AH2" s="1" t="s">
        <v>75</v>
      </c>
      <c r="AI2" s="1" t="s">
        <v>75</v>
      </c>
      <c r="AJ2" s="1" t="s">
        <v>75</v>
      </c>
      <c r="AK2" s="1" t="s">
        <v>75</v>
      </c>
      <c r="AL2" s="1" t="s">
        <v>75</v>
      </c>
      <c r="AM2" s="1" t="s">
        <v>75</v>
      </c>
      <c r="AN2" s="1" t="s">
        <v>75</v>
      </c>
      <c r="AO2" s="1" t="s">
        <v>75</v>
      </c>
      <c r="AP2" s="1" t="s">
        <v>75</v>
      </c>
      <c r="AQ2" s="1" t="s">
        <v>80</v>
      </c>
      <c r="AR2" s="1" t="s">
        <v>75</v>
      </c>
      <c r="AS2" s="1" t="s">
        <v>75</v>
      </c>
      <c r="AT2" s="1" t="s">
        <v>75</v>
      </c>
      <c r="AU2" s="1" t="s">
        <v>81</v>
      </c>
      <c r="AV2" s="1">
        <v>2025.0</v>
      </c>
      <c r="AW2" s="1">
        <v>13.0</v>
      </c>
      <c r="AX2" s="1">
        <v>1.0</v>
      </c>
      <c r="AY2" s="1" t="s">
        <v>75</v>
      </c>
      <c r="AZ2" s="1" t="s">
        <v>75</v>
      </c>
      <c r="BA2" s="1" t="s">
        <v>75</v>
      </c>
      <c r="BB2" s="1" t="s">
        <v>75</v>
      </c>
      <c r="BC2" s="1" t="s">
        <v>75</v>
      </c>
      <c r="BD2" s="1" t="s">
        <v>75</v>
      </c>
      <c r="BE2" s="1">
        <v>141.0</v>
      </c>
      <c r="BF2" s="1" t="s">
        <v>82</v>
      </c>
      <c r="BG2" s="3" t="str">
        <f>HYPERLINK("http://dx.doi.org/10.3390/jmse13010141","http://dx.doi.org/10.3390/jmse13010141")</f>
        <v>http://dx.doi.org/10.3390/jmse13010141</v>
      </c>
      <c r="BH2" s="1" t="s">
        <v>75</v>
      </c>
      <c r="BI2" s="1" t="s">
        <v>75</v>
      </c>
      <c r="BJ2" s="1" t="s">
        <v>75</v>
      </c>
      <c r="BK2" s="1" t="s">
        <v>75</v>
      </c>
      <c r="BL2" s="1" t="s">
        <v>75</v>
      </c>
      <c r="BM2" s="1" t="s">
        <v>75</v>
      </c>
      <c r="BN2" s="1" t="s">
        <v>75</v>
      </c>
      <c r="BO2" s="1" t="s">
        <v>75</v>
      </c>
      <c r="BP2" s="1" t="s">
        <v>75</v>
      </c>
      <c r="BQ2" s="1" t="s">
        <v>75</v>
      </c>
      <c r="BR2" s="1" t="s">
        <v>75</v>
      </c>
      <c r="BS2" s="1" t="s">
        <v>75</v>
      </c>
      <c r="BT2" s="1" t="s">
        <v>83</v>
      </c>
      <c r="BU2" s="1" t="str">
        <f>HYPERLINK("https%3A%2F%2Fwww.webofscience.com%2Fwos%2Fwoscc%2Ffull-record%2FWOS:001404229900001","View Full Record in Web of Science")</f>
        <v>View Full Record in Web of Science</v>
      </c>
    </row>
    <row r="3" ht="12.75" customHeight="1">
      <c r="A3" s="1" t="s">
        <v>73</v>
      </c>
      <c r="B3" s="1" t="s">
        <v>84</v>
      </c>
      <c r="C3" s="1" t="s">
        <v>75</v>
      </c>
      <c r="D3" s="1" t="s">
        <v>75</v>
      </c>
      <c r="E3" s="1" t="s">
        <v>75</v>
      </c>
      <c r="F3" s="1" t="s">
        <v>85</v>
      </c>
      <c r="G3" s="1" t="s">
        <v>75</v>
      </c>
      <c r="H3" s="1" t="s">
        <v>75</v>
      </c>
      <c r="I3" s="1" t="s">
        <v>86</v>
      </c>
      <c r="J3" s="1" t="str">
        <f>IFERROR(__xludf.DUMMYFUNCTION("LOWER(TRIM(REGEXREPLACE(I3, ""[[:punct:]]"", """")))"),"hplclip hyperbolic prompt learning for zeroshot anomaly detection")</f>
        <v>hplclip hyperbolic prompt learning for zeroshot anomaly detection</v>
      </c>
      <c r="K3" s="1" t="s">
        <v>87</v>
      </c>
      <c r="L3" s="1" t="s">
        <v>75</v>
      </c>
      <c r="M3" s="1" t="s">
        <v>75</v>
      </c>
      <c r="N3" s="1" t="s">
        <v>75</v>
      </c>
      <c r="O3" s="1" t="s">
        <v>75</v>
      </c>
      <c r="P3" s="1" t="s">
        <v>75</v>
      </c>
      <c r="Q3" s="1" t="s">
        <v>75</v>
      </c>
      <c r="R3" s="1" t="s">
        <v>75</v>
      </c>
      <c r="S3" s="1" t="s">
        <v>75</v>
      </c>
      <c r="T3" s="1" t="s">
        <v>75</v>
      </c>
      <c r="U3" s="1" t="s">
        <v>75</v>
      </c>
      <c r="V3" s="1" t="s">
        <v>75</v>
      </c>
      <c r="W3" s="1" t="s">
        <v>75</v>
      </c>
      <c r="X3" s="1" t="s">
        <v>75</v>
      </c>
      <c r="Y3" s="1" t="s">
        <v>75</v>
      </c>
      <c r="Z3" s="1" t="s">
        <v>75</v>
      </c>
      <c r="AA3" s="1" t="s">
        <v>75</v>
      </c>
      <c r="AB3" s="1" t="s">
        <v>75</v>
      </c>
      <c r="AC3" s="1" t="s">
        <v>88</v>
      </c>
      <c r="AD3" s="1" t="s">
        <v>75</v>
      </c>
      <c r="AE3" s="1" t="s">
        <v>75</v>
      </c>
      <c r="AF3" s="1" t="s">
        <v>75</v>
      </c>
      <c r="AG3" s="1" t="s">
        <v>75</v>
      </c>
      <c r="AH3" s="1" t="s">
        <v>75</v>
      </c>
      <c r="AI3" s="1" t="s">
        <v>75</v>
      </c>
      <c r="AJ3" s="1" t="s">
        <v>75</v>
      </c>
      <c r="AK3" s="1" t="s">
        <v>75</v>
      </c>
      <c r="AL3" s="1" t="s">
        <v>75</v>
      </c>
      <c r="AM3" s="1" t="s">
        <v>75</v>
      </c>
      <c r="AN3" s="1" t="s">
        <v>75</v>
      </c>
      <c r="AO3" s="1" t="s">
        <v>75</v>
      </c>
      <c r="AP3" s="1" t="s">
        <v>89</v>
      </c>
      <c r="AQ3" s="1" t="s">
        <v>90</v>
      </c>
      <c r="AR3" s="1" t="s">
        <v>75</v>
      </c>
      <c r="AS3" s="1" t="s">
        <v>75</v>
      </c>
      <c r="AT3" s="1" t="s">
        <v>75</v>
      </c>
      <c r="AU3" s="1" t="s">
        <v>91</v>
      </c>
      <c r="AV3" s="1">
        <v>2026.0</v>
      </c>
      <c r="AW3" s="1">
        <v>37.0</v>
      </c>
      <c r="AX3" s="1">
        <v>28.0</v>
      </c>
      <c r="AY3" s="1" t="s">
        <v>75</v>
      </c>
      <c r="AZ3" s="1" t="s">
        <v>75</v>
      </c>
      <c r="BA3" s="1" t="s">
        <v>75</v>
      </c>
      <c r="BB3" s="1" t="s">
        <v>75</v>
      </c>
      <c r="BC3" s="1" t="s">
        <v>75</v>
      </c>
      <c r="BD3" s="1" t="s">
        <v>75</v>
      </c>
      <c r="BE3" s="1">
        <v>286115.0</v>
      </c>
      <c r="BF3" s="1" t="s">
        <v>92</v>
      </c>
      <c r="BG3" s="3" t="str">
        <f>HYPERLINK("http://dx.doi.org/10.1088/1361-6501/ae8713","http://dx.doi.org/10.1088/1361-6501/ae8713")</f>
        <v>http://dx.doi.org/10.1088/1361-6501/ae8713</v>
      </c>
      <c r="BH3" s="1" t="s">
        <v>75</v>
      </c>
      <c r="BI3" s="1" t="s">
        <v>75</v>
      </c>
      <c r="BJ3" s="1" t="s">
        <v>75</v>
      </c>
      <c r="BK3" s="1" t="s">
        <v>75</v>
      </c>
      <c r="BL3" s="1" t="s">
        <v>75</v>
      </c>
      <c r="BM3" s="1" t="s">
        <v>75</v>
      </c>
      <c r="BN3" s="1" t="s">
        <v>75</v>
      </c>
      <c r="BO3" s="1" t="s">
        <v>75</v>
      </c>
      <c r="BP3" s="1" t="s">
        <v>75</v>
      </c>
      <c r="BQ3" s="1" t="s">
        <v>75</v>
      </c>
      <c r="BR3" s="1" t="s">
        <v>75</v>
      </c>
      <c r="BS3" s="1" t="s">
        <v>75</v>
      </c>
      <c r="BT3" s="1" t="s">
        <v>93</v>
      </c>
      <c r="BU3" s="1" t="str">
        <f>HYPERLINK("https%3A%2F%2Fwww.webofscience.com%2Fwos%2Fwoscc%2Ffull-record%2FWOS:001820947300001","View Full Record in Web of Science")</f>
        <v>View Full Record in Web of Science</v>
      </c>
    </row>
    <row r="4" ht="12.75" customHeight="1">
      <c r="A4" s="1" t="s">
        <v>73</v>
      </c>
      <c r="B4" s="1" t="s">
        <v>94</v>
      </c>
      <c r="C4" s="1" t="s">
        <v>75</v>
      </c>
      <c r="D4" s="1" t="s">
        <v>75</v>
      </c>
      <c r="E4" s="1" t="s">
        <v>75</v>
      </c>
      <c r="F4" s="1" t="s">
        <v>95</v>
      </c>
      <c r="G4" s="1" t="s">
        <v>75</v>
      </c>
      <c r="H4" s="1" t="s">
        <v>75</v>
      </c>
      <c r="I4" s="1" t="s">
        <v>96</v>
      </c>
      <c r="J4" s="1" t="str">
        <f>IFERROR(__xludf.DUMMYFUNCTION("LOWER(TRIM(REGEXREPLACE(I4, ""[[:punct:]]"", """")))"),"global information and structure tensor guided collaborative representation for anomaly detection")</f>
        <v>global information and structure tensor guided collaborative representation for anomaly detection</v>
      </c>
      <c r="K4" s="1" t="s">
        <v>97</v>
      </c>
      <c r="L4" s="1" t="s">
        <v>75</v>
      </c>
      <c r="M4" s="1" t="s">
        <v>75</v>
      </c>
      <c r="N4" s="1" t="s">
        <v>75</v>
      </c>
      <c r="O4" s="1" t="s">
        <v>75</v>
      </c>
      <c r="P4" s="1" t="s">
        <v>75</v>
      </c>
      <c r="Q4" s="1" t="s">
        <v>75</v>
      </c>
      <c r="R4" s="1" t="s">
        <v>75</v>
      </c>
      <c r="S4" s="1" t="s">
        <v>75</v>
      </c>
      <c r="T4" s="1" t="s">
        <v>75</v>
      </c>
      <c r="U4" s="1" t="s">
        <v>75</v>
      </c>
      <c r="V4" s="1" t="s">
        <v>75</v>
      </c>
      <c r="W4" s="1" t="s">
        <v>75</v>
      </c>
      <c r="X4" s="1" t="s">
        <v>75</v>
      </c>
      <c r="Y4" s="1" t="s">
        <v>75</v>
      </c>
      <c r="Z4" s="1" t="s">
        <v>75</v>
      </c>
      <c r="AA4" s="1" t="s">
        <v>75</v>
      </c>
      <c r="AB4" s="1" t="s">
        <v>75</v>
      </c>
      <c r="AC4" s="1" t="s">
        <v>98</v>
      </c>
      <c r="AD4" s="1" t="s">
        <v>75</v>
      </c>
      <c r="AE4" s="1" t="s">
        <v>75</v>
      </c>
      <c r="AF4" s="1" t="s">
        <v>75</v>
      </c>
      <c r="AG4" s="1" t="s">
        <v>75</v>
      </c>
      <c r="AH4" s="1" t="s">
        <v>75</v>
      </c>
      <c r="AI4" s="1" t="s">
        <v>75</v>
      </c>
      <c r="AJ4" s="1" t="s">
        <v>75</v>
      </c>
      <c r="AK4" s="1" t="s">
        <v>75</v>
      </c>
      <c r="AL4" s="1" t="s">
        <v>75</v>
      </c>
      <c r="AM4" s="1" t="s">
        <v>75</v>
      </c>
      <c r="AN4" s="1" t="s">
        <v>75</v>
      </c>
      <c r="AO4" s="1" t="s">
        <v>75</v>
      </c>
      <c r="AP4" s="1" t="s">
        <v>99</v>
      </c>
      <c r="AQ4" s="1" t="s">
        <v>100</v>
      </c>
      <c r="AR4" s="1" t="s">
        <v>75</v>
      </c>
      <c r="AS4" s="1" t="s">
        <v>75</v>
      </c>
      <c r="AT4" s="1" t="s">
        <v>75</v>
      </c>
      <c r="AU4" s="1" t="s">
        <v>75</v>
      </c>
      <c r="AV4" s="1">
        <v>2025.0</v>
      </c>
      <c r="AW4" s="1">
        <v>18.0</v>
      </c>
      <c r="AX4" s="1" t="s">
        <v>75</v>
      </c>
      <c r="AY4" s="1" t="s">
        <v>75</v>
      </c>
      <c r="AZ4" s="1" t="s">
        <v>75</v>
      </c>
      <c r="BA4" s="1" t="s">
        <v>75</v>
      </c>
      <c r="BB4" s="1" t="s">
        <v>75</v>
      </c>
      <c r="BC4" s="1">
        <v>3236.0</v>
      </c>
      <c r="BD4" s="1">
        <v>3252.0</v>
      </c>
      <c r="BE4" s="1" t="s">
        <v>75</v>
      </c>
      <c r="BF4" s="1" t="s">
        <v>101</v>
      </c>
      <c r="BG4" s="3" t="str">
        <f>HYPERLINK("http://dx.doi.org/10.1109/JSTARS.2024.3506116","http://dx.doi.org/10.1109/JSTARS.2024.3506116")</f>
        <v>http://dx.doi.org/10.1109/JSTARS.2024.3506116</v>
      </c>
      <c r="BH4" s="1" t="s">
        <v>75</v>
      </c>
      <c r="BI4" s="1" t="s">
        <v>75</v>
      </c>
      <c r="BJ4" s="1" t="s">
        <v>75</v>
      </c>
      <c r="BK4" s="1" t="s">
        <v>75</v>
      </c>
      <c r="BL4" s="1" t="s">
        <v>75</v>
      </c>
      <c r="BM4" s="1" t="s">
        <v>75</v>
      </c>
      <c r="BN4" s="1" t="s">
        <v>75</v>
      </c>
      <c r="BO4" s="1" t="s">
        <v>75</v>
      </c>
      <c r="BP4" s="1" t="s">
        <v>75</v>
      </c>
      <c r="BQ4" s="1" t="s">
        <v>75</v>
      </c>
      <c r="BR4" s="1" t="s">
        <v>75</v>
      </c>
      <c r="BS4" s="1" t="s">
        <v>75</v>
      </c>
      <c r="BT4" s="1" t="s">
        <v>102</v>
      </c>
      <c r="BU4" s="1" t="str">
        <f>HYPERLINK("https%3A%2F%2Fwww.webofscience.com%2Fwos%2Fwoscc%2Ffull-record%2FWOS:001398107400002","View Full Record in Web of Science")</f>
        <v>View Full Record in Web of Science</v>
      </c>
    </row>
    <row r="5" ht="12.75" customHeight="1">
      <c r="A5" s="1" t="s">
        <v>73</v>
      </c>
      <c r="B5" s="1" t="s">
        <v>103</v>
      </c>
      <c r="C5" s="1" t="s">
        <v>75</v>
      </c>
      <c r="D5" s="1" t="s">
        <v>75</v>
      </c>
      <c r="E5" s="1" t="s">
        <v>75</v>
      </c>
      <c r="F5" s="1" t="s">
        <v>104</v>
      </c>
      <c r="G5" s="1" t="s">
        <v>75</v>
      </c>
      <c r="H5" s="1" t="s">
        <v>75</v>
      </c>
      <c r="I5" s="1" t="s">
        <v>105</v>
      </c>
      <c r="J5" s="1" t="str">
        <f>IFERROR(__xludf.DUMMYFUNCTION("LOWER(TRIM(REGEXREPLACE(I5, ""[[:punct:]]"", """")))"),"marine soundscape forecasting a deep learningbased approach")</f>
        <v>marine soundscape forecasting a deep learningbased approach</v>
      </c>
      <c r="K5" s="1" t="s">
        <v>106</v>
      </c>
      <c r="L5" s="1" t="s">
        <v>75</v>
      </c>
      <c r="M5" s="1" t="s">
        <v>75</v>
      </c>
      <c r="N5" s="1" t="s">
        <v>75</v>
      </c>
      <c r="O5" s="1" t="s">
        <v>75</v>
      </c>
      <c r="P5" s="1" t="s">
        <v>75</v>
      </c>
      <c r="Q5" s="1" t="s">
        <v>75</v>
      </c>
      <c r="R5" s="1" t="s">
        <v>75</v>
      </c>
      <c r="S5" s="1" t="s">
        <v>75</v>
      </c>
      <c r="T5" s="1" t="s">
        <v>75</v>
      </c>
      <c r="U5" s="1" t="s">
        <v>75</v>
      </c>
      <c r="V5" s="1" t="s">
        <v>75</v>
      </c>
      <c r="W5" s="1" t="s">
        <v>75</v>
      </c>
      <c r="X5" s="1" t="s">
        <v>75</v>
      </c>
      <c r="Y5" s="1" t="s">
        <v>75</v>
      </c>
      <c r="Z5" s="1" t="s">
        <v>75</v>
      </c>
      <c r="AA5" s="1" t="s">
        <v>75</v>
      </c>
      <c r="AB5" s="1" t="s">
        <v>107</v>
      </c>
      <c r="AC5" s="1" t="s">
        <v>108</v>
      </c>
      <c r="AD5" s="1" t="s">
        <v>75</v>
      </c>
      <c r="AE5" s="1" t="s">
        <v>75</v>
      </c>
      <c r="AF5" s="1" t="s">
        <v>75</v>
      </c>
      <c r="AG5" s="1" t="s">
        <v>75</v>
      </c>
      <c r="AH5" s="1" t="s">
        <v>75</v>
      </c>
      <c r="AI5" s="1" t="s">
        <v>75</v>
      </c>
      <c r="AJ5" s="1" t="s">
        <v>75</v>
      </c>
      <c r="AK5" s="1" t="s">
        <v>75</v>
      </c>
      <c r="AL5" s="1" t="s">
        <v>75</v>
      </c>
      <c r="AM5" s="1" t="s">
        <v>75</v>
      </c>
      <c r="AN5" s="1" t="s">
        <v>75</v>
      </c>
      <c r="AO5" s="1" t="s">
        <v>75</v>
      </c>
      <c r="AP5" s="1" t="s">
        <v>109</v>
      </c>
      <c r="AQ5" s="1" t="s">
        <v>110</v>
      </c>
      <c r="AR5" s="1" t="s">
        <v>75</v>
      </c>
      <c r="AS5" s="1" t="s">
        <v>75</v>
      </c>
      <c r="AT5" s="1" t="s">
        <v>75</v>
      </c>
      <c r="AU5" s="1" t="s">
        <v>111</v>
      </c>
      <c r="AV5" s="1">
        <v>2025.0</v>
      </c>
      <c r="AW5" s="1">
        <v>89.0</v>
      </c>
      <c r="AX5" s="1" t="s">
        <v>75</v>
      </c>
      <c r="AY5" s="1" t="s">
        <v>75</v>
      </c>
      <c r="AZ5" s="1" t="s">
        <v>75</v>
      </c>
      <c r="BA5" s="1" t="s">
        <v>75</v>
      </c>
      <c r="BB5" s="1" t="s">
        <v>75</v>
      </c>
      <c r="BC5" s="1" t="s">
        <v>75</v>
      </c>
      <c r="BD5" s="1" t="s">
        <v>75</v>
      </c>
      <c r="BE5" s="1">
        <v>103189.0</v>
      </c>
      <c r="BF5" s="1" t="s">
        <v>112</v>
      </c>
      <c r="BG5" s="3" t="str">
        <f>HYPERLINK("http://dx.doi.org/10.1016/j.ecoinf.2025.103189","http://dx.doi.org/10.1016/j.ecoinf.2025.103189")</f>
        <v>http://dx.doi.org/10.1016/j.ecoinf.2025.103189</v>
      </c>
      <c r="BH5" s="1" t="s">
        <v>75</v>
      </c>
      <c r="BI5" s="1" t="s">
        <v>113</v>
      </c>
      <c r="BJ5" s="1" t="s">
        <v>75</v>
      </c>
      <c r="BK5" s="1" t="s">
        <v>75</v>
      </c>
      <c r="BL5" s="1" t="s">
        <v>75</v>
      </c>
      <c r="BM5" s="1" t="s">
        <v>75</v>
      </c>
      <c r="BN5" s="1" t="s">
        <v>75</v>
      </c>
      <c r="BO5" s="1" t="s">
        <v>75</v>
      </c>
      <c r="BP5" s="1" t="s">
        <v>75</v>
      </c>
      <c r="BQ5" s="1" t="s">
        <v>75</v>
      </c>
      <c r="BR5" s="1" t="s">
        <v>75</v>
      </c>
      <c r="BS5" s="1" t="s">
        <v>75</v>
      </c>
      <c r="BT5" s="1" t="s">
        <v>114</v>
      </c>
      <c r="BU5" s="1" t="str">
        <f>HYPERLINK("https%3A%2F%2Fwww.webofscience.com%2Fwos%2Fwoscc%2Ffull-record%2FWOS:001498526900001","View Full Record in Web of Science")</f>
        <v>View Full Record in Web of Science</v>
      </c>
    </row>
    <row r="6" ht="12.75" customHeight="1">
      <c r="A6" s="1" t="s">
        <v>73</v>
      </c>
      <c r="B6" s="1" t="s">
        <v>115</v>
      </c>
      <c r="C6" s="1" t="s">
        <v>75</v>
      </c>
      <c r="D6" s="1" t="s">
        <v>75</v>
      </c>
      <c r="E6" s="1" t="s">
        <v>75</v>
      </c>
      <c r="F6" s="1" t="s">
        <v>116</v>
      </c>
      <c r="G6" s="1" t="s">
        <v>75</v>
      </c>
      <c r="H6" s="1" t="s">
        <v>75</v>
      </c>
      <c r="I6" s="1" t="s">
        <v>117</v>
      </c>
      <c r="J6" s="1" t="str">
        <f>IFERROR(__xludf.DUMMYFUNCTION("LOWER(TRIM(REGEXREPLACE(I6, ""[[:punct:]]"", """")))"),"a machine learningdriven framework for enhancing underwater visual signal processing in marine ecosystem economic monitoring and anthropogenic impact assessment")</f>
        <v>a machine learningdriven framework for enhancing underwater visual signal processing in marine ecosystem economic monitoring and anthropogenic impact assessment</v>
      </c>
      <c r="K6" s="1" t="s">
        <v>118</v>
      </c>
      <c r="L6" s="1" t="s">
        <v>75</v>
      </c>
      <c r="M6" s="1" t="s">
        <v>75</v>
      </c>
      <c r="N6" s="1" t="s">
        <v>75</v>
      </c>
      <c r="O6" s="1" t="s">
        <v>75</v>
      </c>
      <c r="P6" s="1" t="s">
        <v>75</v>
      </c>
      <c r="Q6" s="1" t="s">
        <v>75</v>
      </c>
      <c r="R6" s="1" t="s">
        <v>75</v>
      </c>
      <c r="S6" s="1" t="s">
        <v>75</v>
      </c>
      <c r="T6" s="1" t="s">
        <v>75</v>
      </c>
      <c r="U6" s="1" t="s">
        <v>75</v>
      </c>
      <c r="V6" s="1" t="s">
        <v>75</v>
      </c>
      <c r="W6" s="1" t="s">
        <v>75</v>
      </c>
      <c r="X6" s="1" t="s">
        <v>75</v>
      </c>
      <c r="Y6" s="1" t="s">
        <v>75</v>
      </c>
      <c r="Z6" s="1" t="s">
        <v>75</v>
      </c>
      <c r="AA6" s="1" t="s">
        <v>75</v>
      </c>
      <c r="AB6" s="1" t="s">
        <v>75</v>
      </c>
      <c r="AC6" s="1" t="s">
        <v>75</v>
      </c>
      <c r="AD6" s="1" t="s">
        <v>75</v>
      </c>
      <c r="AE6" s="1" t="s">
        <v>75</v>
      </c>
      <c r="AF6" s="1" t="s">
        <v>75</v>
      </c>
      <c r="AG6" s="1" t="s">
        <v>75</v>
      </c>
      <c r="AH6" s="1" t="s">
        <v>75</v>
      </c>
      <c r="AI6" s="1" t="s">
        <v>75</v>
      </c>
      <c r="AJ6" s="1" t="s">
        <v>75</v>
      </c>
      <c r="AK6" s="1" t="s">
        <v>75</v>
      </c>
      <c r="AL6" s="1" t="s">
        <v>75</v>
      </c>
      <c r="AM6" s="1" t="s">
        <v>75</v>
      </c>
      <c r="AN6" s="1" t="s">
        <v>75</v>
      </c>
      <c r="AO6" s="1" t="s">
        <v>75</v>
      </c>
      <c r="AP6" s="1" t="s">
        <v>75</v>
      </c>
      <c r="AQ6" s="1" t="s">
        <v>119</v>
      </c>
      <c r="AR6" s="1" t="s">
        <v>75</v>
      </c>
      <c r="AS6" s="1" t="s">
        <v>75</v>
      </c>
      <c r="AT6" s="1" t="s">
        <v>75</v>
      </c>
      <c r="AU6" s="1" t="s">
        <v>120</v>
      </c>
      <c r="AV6" s="1">
        <v>2026.0</v>
      </c>
      <c r="AW6" s="1">
        <v>13.0</v>
      </c>
      <c r="AX6" s="1" t="s">
        <v>75</v>
      </c>
      <c r="AY6" s="1" t="s">
        <v>75</v>
      </c>
      <c r="AZ6" s="1" t="s">
        <v>75</v>
      </c>
      <c r="BA6" s="1" t="s">
        <v>75</v>
      </c>
      <c r="BB6" s="1" t="s">
        <v>75</v>
      </c>
      <c r="BC6" s="1" t="s">
        <v>75</v>
      </c>
      <c r="BD6" s="1" t="s">
        <v>75</v>
      </c>
      <c r="BE6" s="1">
        <v>1689855.0</v>
      </c>
      <c r="BF6" s="1" t="s">
        <v>121</v>
      </c>
      <c r="BG6" s="3" t="str">
        <f>HYPERLINK("http://dx.doi.org/10.3389/fenvs.2025.1689855","http://dx.doi.org/10.3389/fenvs.2025.1689855")</f>
        <v>http://dx.doi.org/10.3389/fenvs.2025.1689855</v>
      </c>
      <c r="BH6" s="1" t="s">
        <v>75</v>
      </c>
      <c r="BI6" s="1" t="s">
        <v>75</v>
      </c>
      <c r="BJ6" s="1" t="s">
        <v>75</v>
      </c>
      <c r="BK6" s="1" t="s">
        <v>75</v>
      </c>
      <c r="BL6" s="1" t="s">
        <v>75</v>
      </c>
      <c r="BM6" s="1" t="s">
        <v>75</v>
      </c>
      <c r="BN6" s="1" t="s">
        <v>75</v>
      </c>
      <c r="BO6" s="1" t="s">
        <v>75</v>
      </c>
      <c r="BP6" s="1" t="s">
        <v>75</v>
      </c>
      <c r="BQ6" s="1" t="s">
        <v>75</v>
      </c>
      <c r="BR6" s="1" t="s">
        <v>75</v>
      </c>
      <c r="BS6" s="1" t="s">
        <v>75</v>
      </c>
      <c r="BT6" s="1" t="s">
        <v>122</v>
      </c>
      <c r="BU6" s="1" t="str">
        <f>HYPERLINK("https%3A%2F%2Fwww.webofscience.com%2Fwos%2Fwoscc%2Ffull-record%2FWOS:001661951800001","View Full Record in Web of Science")</f>
        <v>View Full Record in Web of Science</v>
      </c>
    </row>
    <row r="7" ht="12.75" customHeight="1">
      <c r="A7" s="1" t="s">
        <v>73</v>
      </c>
      <c r="B7" s="1" t="s">
        <v>123</v>
      </c>
      <c r="C7" s="1" t="s">
        <v>75</v>
      </c>
      <c r="D7" s="1" t="s">
        <v>75</v>
      </c>
      <c r="E7" s="1" t="s">
        <v>75</v>
      </c>
      <c r="F7" s="1" t="s">
        <v>124</v>
      </c>
      <c r="G7" s="1" t="s">
        <v>75</v>
      </c>
      <c r="H7" s="1" t="s">
        <v>75</v>
      </c>
      <c r="I7" s="1" t="s">
        <v>125</v>
      </c>
      <c r="J7" s="1" t="str">
        <f>IFERROR(__xludf.DUMMYFUNCTION("LOWER(TRIM(REGEXREPLACE(I7, ""[[:punct:]]"", """")))"),"phyloref a semiautomated workflow for edna reference database curation via phylogenetic anomaly detection")</f>
        <v>phyloref a semiautomated workflow for edna reference database curation via phylogenetic anomaly detection</v>
      </c>
      <c r="K7" s="1" t="s">
        <v>126</v>
      </c>
      <c r="L7" s="1" t="s">
        <v>75</v>
      </c>
      <c r="M7" s="1" t="s">
        <v>75</v>
      </c>
      <c r="N7" s="1" t="s">
        <v>75</v>
      </c>
      <c r="O7" s="1" t="s">
        <v>75</v>
      </c>
      <c r="P7" s="1" t="s">
        <v>75</v>
      </c>
      <c r="Q7" s="1" t="s">
        <v>75</v>
      </c>
      <c r="R7" s="1" t="s">
        <v>75</v>
      </c>
      <c r="S7" s="1" t="s">
        <v>75</v>
      </c>
      <c r="T7" s="1" t="s">
        <v>75</v>
      </c>
      <c r="U7" s="1" t="s">
        <v>75</v>
      </c>
      <c r="V7" s="1" t="s">
        <v>75</v>
      </c>
      <c r="W7" s="1" t="s">
        <v>75</v>
      </c>
      <c r="X7" s="1" t="s">
        <v>75</v>
      </c>
      <c r="Y7" s="1" t="s">
        <v>75</v>
      </c>
      <c r="Z7" s="1" t="s">
        <v>75</v>
      </c>
      <c r="AA7" s="1" t="s">
        <v>75</v>
      </c>
      <c r="AB7" s="1" t="s">
        <v>75</v>
      </c>
      <c r="AC7" s="1" t="s">
        <v>127</v>
      </c>
      <c r="AD7" s="1" t="s">
        <v>75</v>
      </c>
      <c r="AE7" s="1" t="s">
        <v>75</v>
      </c>
      <c r="AF7" s="1" t="s">
        <v>75</v>
      </c>
      <c r="AG7" s="1" t="s">
        <v>75</v>
      </c>
      <c r="AH7" s="1" t="s">
        <v>75</v>
      </c>
      <c r="AI7" s="1" t="s">
        <v>75</v>
      </c>
      <c r="AJ7" s="1" t="s">
        <v>75</v>
      </c>
      <c r="AK7" s="1" t="s">
        <v>75</v>
      </c>
      <c r="AL7" s="1" t="s">
        <v>75</v>
      </c>
      <c r="AM7" s="1" t="s">
        <v>75</v>
      </c>
      <c r="AN7" s="1" t="s">
        <v>75</v>
      </c>
      <c r="AO7" s="1" t="s">
        <v>75</v>
      </c>
      <c r="AP7" s="1" t="s">
        <v>128</v>
      </c>
      <c r="AQ7" s="1" t="s">
        <v>75</v>
      </c>
      <c r="AR7" s="1" t="s">
        <v>75</v>
      </c>
      <c r="AS7" s="1" t="s">
        <v>75</v>
      </c>
      <c r="AT7" s="1" t="s">
        <v>75</v>
      </c>
      <c r="AU7" s="1" t="s">
        <v>129</v>
      </c>
      <c r="AV7" s="1">
        <v>2026.0</v>
      </c>
      <c r="AW7" s="1">
        <v>16.0</v>
      </c>
      <c r="AX7" s="1">
        <v>3.0</v>
      </c>
      <c r="AY7" s="1" t="s">
        <v>75</v>
      </c>
      <c r="AZ7" s="1" t="s">
        <v>75</v>
      </c>
      <c r="BA7" s="1" t="s">
        <v>75</v>
      </c>
      <c r="BB7" s="1" t="s">
        <v>75</v>
      </c>
      <c r="BC7" s="1" t="s">
        <v>75</v>
      </c>
      <c r="BD7" s="1" t="s">
        <v>75</v>
      </c>
      <c r="BE7" s="1" t="s">
        <v>130</v>
      </c>
      <c r="BF7" s="1" t="s">
        <v>131</v>
      </c>
      <c r="BG7" s="3" t="str">
        <f>HYPERLINK("http://dx.doi.org/10.1002/ece3.73159","http://dx.doi.org/10.1002/ece3.73159")</f>
        <v>http://dx.doi.org/10.1002/ece3.73159</v>
      </c>
      <c r="BH7" s="1" t="s">
        <v>75</v>
      </c>
      <c r="BI7" s="1" t="s">
        <v>75</v>
      </c>
      <c r="BJ7" s="1" t="s">
        <v>75</v>
      </c>
      <c r="BK7" s="1" t="s">
        <v>75</v>
      </c>
      <c r="BL7" s="1" t="s">
        <v>75</v>
      </c>
      <c r="BM7" s="1" t="s">
        <v>75</v>
      </c>
      <c r="BN7" s="1" t="s">
        <v>75</v>
      </c>
      <c r="BO7" s="1" t="s">
        <v>75</v>
      </c>
      <c r="BP7" s="1" t="s">
        <v>75</v>
      </c>
      <c r="BQ7" s="1" t="s">
        <v>75</v>
      </c>
      <c r="BR7" s="1" t="s">
        <v>75</v>
      </c>
      <c r="BS7" s="1" t="s">
        <v>75</v>
      </c>
      <c r="BT7" s="1" t="s">
        <v>132</v>
      </c>
      <c r="BU7" s="1" t="str">
        <f>HYPERLINK("https%3A%2F%2Fwww.webofscience.com%2Fwos%2Fwoscc%2Ffull-record%2FWOS:001703878400001","View Full Record in Web of Science")</f>
        <v>View Full Record in Web of Science</v>
      </c>
    </row>
    <row r="8" ht="12.75" customHeight="1">
      <c r="A8" s="1" t="s">
        <v>73</v>
      </c>
      <c r="B8" s="1" t="s">
        <v>133</v>
      </c>
      <c r="C8" s="1" t="s">
        <v>75</v>
      </c>
      <c r="D8" s="1" t="s">
        <v>75</v>
      </c>
      <c r="E8" s="1" t="s">
        <v>75</v>
      </c>
      <c r="F8" s="1" t="s">
        <v>134</v>
      </c>
      <c r="G8" s="1" t="s">
        <v>75</v>
      </c>
      <c r="H8" s="1" t="s">
        <v>75</v>
      </c>
      <c r="I8" s="1" t="s">
        <v>135</v>
      </c>
      <c r="J8" s="1" t="str">
        <f>IFERROR(__xludf.DUMMYFUNCTION("LOWER(TRIM(REGEXREPLACE(I8, ""[[:punct:]]"", """")))"),"fustt forecasting using spatiotemporal transformers for predicting marine stressors of bluecarbon ecosystems")</f>
        <v>fustt forecasting using spatiotemporal transformers for predicting marine stressors of bluecarbon ecosystems</v>
      </c>
      <c r="K8" s="1" t="s">
        <v>97</v>
      </c>
      <c r="L8" s="1" t="s">
        <v>75</v>
      </c>
      <c r="M8" s="1" t="s">
        <v>75</v>
      </c>
      <c r="N8" s="1" t="s">
        <v>75</v>
      </c>
      <c r="O8" s="1" t="s">
        <v>75</v>
      </c>
      <c r="P8" s="1" t="s">
        <v>75</v>
      </c>
      <c r="Q8" s="1" t="s">
        <v>75</v>
      </c>
      <c r="R8" s="1" t="s">
        <v>75</v>
      </c>
      <c r="S8" s="1" t="s">
        <v>75</v>
      </c>
      <c r="T8" s="1" t="s">
        <v>75</v>
      </c>
      <c r="U8" s="1" t="s">
        <v>75</v>
      </c>
      <c r="V8" s="1" t="s">
        <v>75</v>
      </c>
      <c r="W8" s="1" t="s">
        <v>75</v>
      </c>
      <c r="X8" s="1" t="s">
        <v>75</v>
      </c>
      <c r="Y8" s="1" t="s">
        <v>75</v>
      </c>
      <c r="Z8" s="1" t="s">
        <v>75</v>
      </c>
      <c r="AA8" s="1" t="s">
        <v>75</v>
      </c>
      <c r="AB8" s="1" t="s">
        <v>136</v>
      </c>
      <c r="AC8" s="1" t="s">
        <v>137</v>
      </c>
      <c r="AD8" s="1" t="s">
        <v>75</v>
      </c>
      <c r="AE8" s="1" t="s">
        <v>75</v>
      </c>
      <c r="AF8" s="1" t="s">
        <v>75</v>
      </c>
      <c r="AG8" s="1" t="s">
        <v>75</v>
      </c>
      <c r="AH8" s="1" t="s">
        <v>75</v>
      </c>
      <c r="AI8" s="1" t="s">
        <v>75</v>
      </c>
      <c r="AJ8" s="1" t="s">
        <v>75</v>
      </c>
      <c r="AK8" s="1" t="s">
        <v>75</v>
      </c>
      <c r="AL8" s="1" t="s">
        <v>75</v>
      </c>
      <c r="AM8" s="1" t="s">
        <v>75</v>
      </c>
      <c r="AN8" s="1" t="s">
        <v>75</v>
      </c>
      <c r="AO8" s="1" t="s">
        <v>75</v>
      </c>
      <c r="AP8" s="1" t="s">
        <v>99</v>
      </c>
      <c r="AQ8" s="1" t="s">
        <v>100</v>
      </c>
      <c r="AR8" s="1" t="s">
        <v>75</v>
      </c>
      <c r="AS8" s="1" t="s">
        <v>75</v>
      </c>
      <c r="AT8" s="1" t="s">
        <v>75</v>
      </c>
      <c r="AU8" s="1" t="s">
        <v>75</v>
      </c>
      <c r="AV8" s="1">
        <v>2026.0</v>
      </c>
      <c r="AW8" s="1">
        <v>19.0</v>
      </c>
      <c r="AX8" s="1" t="s">
        <v>75</v>
      </c>
      <c r="AY8" s="1" t="s">
        <v>75</v>
      </c>
      <c r="AZ8" s="1" t="s">
        <v>75</v>
      </c>
      <c r="BA8" s="1" t="s">
        <v>75</v>
      </c>
      <c r="BB8" s="1" t="s">
        <v>75</v>
      </c>
      <c r="BC8" s="1">
        <v>731.0</v>
      </c>
      <c r="BD8" s="1">
        <v>744.0</v>
      </c>
      <c r="BE8" s="1" t="s">
        <v>75</v>
      </c>
      <c r="BF8" s="1" t="s">
        <v>138</v>
      </c>
      <c r="BG8" s="3" t="str">
        <f>HYPERLINK("http://dx.doi.org/10.1109/JSTARS.2025.3634525","http://dx.doi.org/10.1109/JSTARS.2025.3634525")</f>
        <v>http://dx.doi.org/10.1109/JSTARS.2025.3634525</v>
      </c>
      <c r="BH8" s="1" t="s">
        <v>75</v>
      </c>
      <c r="BI8" s="1" t="s">
        <v>75</v>
      </c>
      <c r="BJ8" s="1" t="s">
        <v>75</v>
      </c>
      <c r="BK8" s="1" t="s">
        <v>75</v>
      </c>
      <c r="BL8" s="1" t="s">
        <v>75</v>
      </c>
      <c r="BM8" s="1" t="s">
        <v>75</v>
      </c>
      <c r="BN8" s="1" t="s">
        <v>75</v>
      </c>
      <c r="BO8" s="1" t="s">
        <v>75</v>
      </c>
      <c r="BP8" s="1" t="s">
        <v>75</v>
      </c>
      <c r="BQ8" s="1" t="s">
        <v>75</v>
      </c>
      <c r="BR8" s="1" t="s">
        <v>75</v>
      </c>
      <c r="BS8" s="1" t="s">
        <v>75</v>
      </c>
      <c r="BT8" s="1" t="s">
        <v>139</v>
      </c>
      <c r="BU8" s="1" t="str">
        <f>HYPERLINK("https%3A%2F%2Fwww.webofscience.com%2Fwos%2Fwoscc%2Ffull-record%2FWOS:001635914800002","View Full Record in Web of Science")</f>
        <v>View Full Record in Web of Science</v>
      </c>
    </row>
    <row r="9" ht="12.75" customHeight="1">
      <c r="A9" s="1" t="s">
        <v>73</v>
      </c>
      <c r="B9" s="1" t="s">
        <v>140</v>
      </c>
      <c r="C9" s="1" t="s">
        <v>75</v>
      </c>
      <c r="D9" s="1" t="s">
        <v>75</v>
      </c>
      <c r="E9" s="1" t="s">
        <v>75</v>
      </c>
      <c r="F9" s="1" t="s">
        <v>141</v>
      </c>
      <c r="G9" s="1" t="s">
        <v>75</v>
      </c>
      <c r="H9" s="1" t="s">
        <v>75</v>
      </c>
      <c r="I9" s="1" t="s">
        <v>142</v>
      </c>
      <c r="J9" s="1" t="str">
        <f>IFERROR(__xludf.DUMMYFUNCTION("LOWER(TRIM(REGEXREPLACE(I9, ""[[:punct:]]"", """")))"),"a conceptual framework for measuring ecological novelty")</f>
        <v>a conceptual framework for measuring ecological novelty</v>
      </c>
      <c r="K9" s="1" t="s">
        <v>143</v>
      </c>
      <c r="L9" s="1" t="s">
        <v>75</v>
      </c>
      <c r="M9" s="1" t="s">
        <v>75</v>
      </c>
      <c r="N9" s="1" t="s">
        <v>75</v>
      </c>
      <c r="O9" s="1" t="s">
        <v>75</v>
      </c>
      <c r="P9" s="1" t="s">
        <v>75</v>
      </c>
      <c r="Q9" s="1" t="s">
        <v>75</v>
      </c>
      <c r="R9" s="1" t="s">
        <v>75</v>
      </c>
      <c r="S9" s="1" t="s">
        <v>75</v>
      </c>
      <c r="T9" s="1" t="s">
        <v>75</v>
      </c>
      <c r="U9" s="1" t="s">
        <v>75</v>
      </c>
      <c r="V9" s="1" t="s">
        <v>75</v>
      </c>
      <c r="W9" s="1" t="s">
        <v>75</v>
      </c>
      <c r="X9" s="1" t="s">
        <v>75</v>
      </c>
      <c r="Y9" s="1" t="s">
        <v>75</v>
      </c>
      <c r="Z9" s="1" t="s">
        <v>75</v>
      </c>
      <c r="AA9" s="1" t="s">
        <v>75</v>
      </c>
      <c r="AB9" s="1" t="s">
        <v>144</v>
      </c>
      <c r="AC9" s="1" t="s">
        <v>145</v>
      </c>
      <c r="AD9" s="1" t="s">
        <v>75</v>
      </c>
      <c r="AE9" s="1" t="s">
        <v>75</v>
      </c>
      <c r="AF9" s="1" t="s">
        <v>75</v>
      </c>
      <c r="AG9" s="1" t="s">
        <v>75</v>
      </c>
      <c r="AH9" s="1" t="s">
        <v>75</v>
      </c>
      <c r="AI9" s="1" t="s">
        <v>75</v>
      </c>
      <c r="AJ9" s="1" t="s">
        <v>75</v>
      </c>
      <c r="AK9" s="1" t="s">
        <v>75</v>
      </c>
      <c r="AL9" s="1" t="s">
        <v>75</v>
      </c>
      <c r="AM9" s="1" t="s">
        <v>75</v>
      </c>
      <c r="AN9" s="1" t="s">
        <v>75</v>
      </c>
      <c r="AO9" s="1" t="s">
        <v>75</v>
      </c>
      <c r="AP9" s="1" t="s">
        <v>146</v>
      </c>
      <c r="AQ9" s="1" t="s">
        <v>147</v>
      </c>
      <c r="AR9" s="1" t="s">
        <v>75</v>
      </c>
      <c r="AS9" s="1" t="s">
        <v>75</v>
      </c>
      <c r="AT9" s="1" t="s">
        <v>75</v>
      </c>
      <c r="AU9" s="1" t="s">
        <v>148</v>
      </c>
      <c r="AV9" s="1">
        <v>2025.0</v>
      </c>
      <c r="AW9" s="1">
        <v>34.0</v>
      </c>
      <c r="AX9" s="1">
        <v>2.0</v>
      </c>
      <c r="AY9" s="1" t="s">
        <v>75</v>
      </c>
      <c r="AZ9" s="1" t="s">
        <v>75</v>
      </c>
      <c r="BA9" s="1" t="s">
        <v>75</v>
      </c>
      <c r="BB9" s="1" t="s">
        <v>75</v>
      </c>
      <c r="BC9" s="1" t="s">
        <v>75</v>
      </c>
      <c r="BD9" s="1" t="s">
        <v>75</v>
      </c>
      <c r="BE9" s="1" t="s">
        <v>149</v>
      </c>
      <c r="BF9" s="1" t="s">
        <v>150</v>
      </c>
      <c r="BG9" s="3" t="str">
        <f>HYPERLINK("http://dx.doi.org/10.1111/geb.70005","http://dx.doi.org/10.1111/geb.70005")</f>
        <v>http://dx.doi.org/10.1111/geb.70005</v>
      </c>
      <c r="BH9" s="1" t="s">
        <v>75</v>
      </c>
      <c r="BI9" s="1" t="s">
        <v>75</v>
      </c>
      <c r="BJ9" s="1" t="s">
        <v>75</v>
      </c>
      <c r="BK9" s="1" t="s">
        <v>75</v>
      </c>
      <c r="BL9" s="1" t="s">
        <v>75</v>
      </c>
      <c r="BM9" s="1" t="s">
        <v>75</v>
      </c>
      <c r="BN9" s="1" t="s">
        <v>75</v>
      </c>
      <c r="BO9" s="1" t="s">
        <v>75</v>
      </c>
      <c r="BP9" s="1" t="s">
        <v>75</v>
      </c>
      <c r="BQ9" s="1" t="s">
        <v>75</v>
      </c>
      <c r="BR9" s="1" t="s">
        <v>75</v>
      </c>
      <c r="BS9" s="1" t="s">
        <v>75</v>
      </c>
      <c r="BT9" s="1" t="s">
        <v>151</v>
      </c>
      <c r="BU9" s="1" t="str">
        <f>HYPERLINK("https%3A%2F%2Fwww.webofscience.com%2Fwos%2Fwoscc%2Ffull-record%2FWOS:001422952600001","View Full Record in Web of Science")</f>
        <v>View Full Record in Web of Science</v>
      </c>
    </row>
    <row r="10" ht="12.75" customHeight="1">
      <c r="A10" s="1" t="s">
        <v>73</v>
      </c>
      <c r="B10" s="1" t="s">
        <v>152</v>
      </c>
      <c r="C10" s="1" t="s">
        <v>75</v>
      </c>
      <c r="D10" s="1" t="s">
        <v>75</v>
      </c>
      <c r="E10" s="1" t="s">
        <v>75</v>
      </c>
      <c r="F10" s="1" t="s">
        <v>153</v>
      </c>
      <c r="G10" s="1" t="s">
        <v>75</v>
      </c>
      <c r="H10" s="1" t="s">
        <v>75</v>
      </c>
      <c r="I10" s="1" t="s">
        <v>154</v>
      </c>
      <c r="J10" s="1" t="str">
        <f>IFERROR(__xludf.DUMMYFUNCTION("LOWER(TRIM(REGEXREPLACE(I10, ""[[:punct:]]"", """")))"),"unsupervisedexplainable anomaly detection in largescale estuarine acoustic telemetry data")</f>
        <v>unsupervisedexplainable anomaly detection in largescale estuarine acoustic telemetry data</v>
      </c>
      <c r="K10" s="1" t="s">
        <v>106</v>
      </c>
      <c r="L10" s="1" t="s">
        <v>75</v>
      </c>
      <c r="M10" s="1" t="s">
        <v>75</v>
      </c>
      <c r="N10" s="1" t="s">
        <v>75</v>
      </c>
      <c r="O10" s="1" t="s">
        <v>75</v>
      </c>
      <c r="P10" s="1" t="s">
        <v>75</v>
      </c>
      <c r="Q10" s="1" t="s">
        <v>75</v>
      </c>
      <c r="R10" s="1" t="s">
        <v>75</v>
      </c>
      <c r="S10" s="1" t="s">
        <v>75</v>
      </c>
      <c r="T10" s="1" t="s">
        <v>75</v>
      </c>
      <c r="U10" s="1" t="s">
        <v>75</v>
      </c>
      <c r="V10" s="1" t="s">
        <v>75</v>
      </c>
      <c r="W10" s="1" t="s">
        <v>75</v>
      </c>
      <c r="X10" s="1" t="s">
        <v>75</v>
      </c>
      <c r="Y10" s="1" t="s">
        <v>75</v>
      </c>
      <c r="Z10" s="1" t="s">
        <v>75</v>
      </c>
      <c r="AA10" s="1" t="s">
        <v>75</v>
      </c>
      <c r="AB10" s="1" t="s">
        <v>155</v>
      </c>
      <c r="AC10" s="1" t="s">
        <v>156</v>
      </c>
      <c r="AD10" s="1" t="s">
        <v>75</v>
      </c>
      <c r="AE10" s="1" t="s">
        <v>75</v>
      </c>
      <c r="AF10" s="1" t="s">
        <v>75</v>
      </c>
      <c r="AG10" s="1" t="s">
        <v>75</v>
      </c>
      <c r="AH10" s="1" t="s">
        <v>75</v>
      </c>
      <c r="AI10" s="1" t="s">
        <v>75</v>
      </c>
      <c r="AJ10" s="1" t="s">
        <v>75</v>
      </c>
      <c r="AK10" s="1" t="s">
        <v>75</v>
      </c>
      <c r="AL10" s="1" t="s">
        <v>75</v>
      </c>
      <c r="AM10" s="1" t="s">
        <v>75</v>
      </c>
      <c r="AN10" s="1" t="s">
        <v>75</v>
      </c>
      <c r="AO10" s="1" t="s">
        <v>75</v>
      </c>
      <c r="AP10" s="1" t="s">
        <v>109</v>
      </c>
      <c r="AQ10" s="1" t="s">
        <v>110</v>
      </c>
      <c r="AR10" s="1" t="s">
        <v>75</v>
      </c>
      <c r="AS10" s="1" t="s">
        <v>75</v>
      </c>
      <c r="AT10" s="1" t="s">
        <v>75</v>
      </c>
      <c r="AU10" s="1" t="s">
        <v>157</v>
      </c>
      <c r="AV10" s="1">
        <v>2026.0</v>
      </c>
      <c r="AW10" s="1">
        <v>94.0</v>
      </c>
      <c r="AX10" s="1" t="s">
        <v>75</v>
      </c>
      <c r="AY10" s="1" t="s">
        <v>75</v>
      </c>
      <c r="AZ10" s="1" t="s">
        <v>75</v>
      </c>
      <c r="BA10" s="1" t="s">
        <v>75</v>
      </c>
      <c r="BB10" s="1" t="s">
        <v>75</v>
      </c>
      <c r="BC10" s="1" t="s">
        <v>75</v>
      </c>
      <c r="BD10" s="1" t="s">
        <v>75</v>
      </c>
      <c r="BE10" s="1">
        <v>103672.0</v>
      </c>
      <c r="BF10" s="1" t="s">
        <v>158</v>
      </c>
      <c r="BG10" s="3" t="str">
        <f>HYPERLINK("http://dx.doi.org/10.1016/j.ecoinf.2026.103672","http://dx.doi.org/10.1016/j.ecoinf.2026.103672")</f>
        <v>http://dx.doi.org/10.1016/j.ecoinf.2026.103672</v>
      </c>
      <c r="BH10" s="1" t="s">
        <v>75</v>
      </c>
      <c r="BI10" s="1" t="s">
        <v>75</v>
      </c>
      <c r="BJ10" s="1" t="s">
        <v>75</v>
      </c>
      <c r="BK10" s="1" t="s">
        <v>75</v>
      </c>
      <c r="BL10" s="1" t="s">
        <v>75</v>
      </c>
      <c r="BM10" s="1" t="s">
        <v>75</v>
      </c>
      <c r="BN10" s="1" t="s">
        <v>75</v>
      </c>
      <c r="BO10" s="1" t="s">
        <v>75</v>
      </c>
      <c r="BP10" s="1" t="s">
        <v>75</v>
      </c>
      <c r="BQ10" s="1" t="s">
        <v>75</v>
      </c>
      <c r="BR10" s="1" t="s">
        <v>75</v>
      </c>
      <c r="BS10" s="1" t="s">
        <v>75</v>
      </c>
      <c r="BT10" s="1" t="s">
        <v>159</v>
      </c>
      <c r="BU10" s="1" t="str">
        <f>HYPERLINK("https%3A%2F%2Fwww.webofscience.com%2Fwos%2Fwoscc%2Ffull-record%2FWOS:001707396300001","View Full Record in Web of Science")</f>
        <v>View Full Record in Web of Science</v>
      </c>
    </row>
    <row r="11" ht="12.75" customHeight="1">
      <c r="A11" s="1" t="s">
        <v>73</v>
      </c>
      <c r="B11" s="1" t="s">
        <v>160</v>
      </c>
      <c r="C11" s="1" t="s">
        <v>75</v>
      </c>
      <c r="D11" s="1" t="s">
        <v>75</v>
      </c>
      <c r="E11" s="1" t="s">
        <v>75</v>
      </c>
      <c r="F11" s="1" t="s">
        <v>161</v>
      </c>
      <c r="G11" s="1" t="s">
        <v>75</v>
      </c>
      <c r="H11" s="1" t="s">
        <v>75</v>
      </c>
      <c r="I11" s="1" t="s">
        <v>162</v>
      </c>
      <c r="J11" s="1" t="str">
        <f>IFERROR(__xludf.DUMMYFUNCTION("LOWER(TRIM(REGEXREPLACE(I11, ""[[:punct:]]"", """")))"),"using teacherstudent neural networks based on knowledge distillation to detect anomalous samples in the otolith images")</f>
        <v>using teacherstudent neural networks based on knowledge distillation to detect anomalous samples in the otolith images</v>
      </c>
      <c r="K11" s="1" t="s">
        <v>163</v>
      </c>
      <c r="L11" s="1" t="s">
        <v>75</v>
      </c>
      <c r="M11" s="1" t="s">
        <v>75</v>
      </c>
      <c r="N11" s="1" t="s">
        <v>75</v>
      </c>
      <c r="O11" s="1" t="s">
        <v>75</v>
      </c>
      <c r="P11" s="1" t="s">
        <v>75</v>
      </c>
      <c r="Q11" s="1" t="s">
        <v>75</v>
      </c>
      <c r="R11" s="1" t="s">
        <v>75</v>
      </c>
      <c r="S11" s="1" t="s">
        <v>75</v>
      </c>
      <c r="T11" s="1" t="s">
        <v>75</v>
      </c>
      <c r="U11" s="1" t="s">
        <v>75</v>
      </c>
      <c r="V11" s="1" t="s">
        <v>75</v>
      </c>
      <c r="W11" s="1" t="s">
        <v>75</v>
      </c>
      <c r="X11" s="1" t="s">
        <v>75</v>
      </c>
      <c r="Y11" s="1" t="s">
        <v>75</v>
      </c>
      <c r="Z11" s="1" t="s">
        <v>75</v>
      </c>
      <c r="AA11" s="1" t="s">
        <v>75</v>
      </c>
      <c r="AB11" s="1" t="s">
        <v>164</v>
      </c>
      <c r="AC11" s="1" t="s">
        <v>165</v>
      </c>
      <c r="AD11" s="1" t="s">
        <v>75</v>
      </c>
      <c r="AE11" s="1" t="s">
        <v>75</v>
      </c>
      <c r="AF11" s="1" t="s">
        <v>75</v>
      </c>
      <c r="AG11" s="1" t="s">
        <v>75</v>
      </c>
      <c r="AH11" s="1" t="s">
        <v>75</v>
      </c>
      <c r="AI11" s="1" t="s">
        <v>75</v>
      </c>
      <c r="AJ11" s="1" t="s">
        <v>75</v>
      </c>
      <c r="AK11" s="1" t="s">
        <v>75</v>
      </c>
      <c r="AL11" s="1" t="s">
        <v>75</v>
      </c>
      <c r="AM11" s="1" t="s">
        <v>75</v>
      </c>
      <c r="AN11" s="1" t="s">
        <v>75</v>
      </c>
      <c r="AO11" s="1" t="s">
        <v>75</v>
      </c>
      <c r="AP11" s="1" t="s">
        <v>166</v>
      </c>
      <c r="AQ11" s="1" t="s">
        <v>167</v>
      </c>
      <c r="AR11" s="1" t="s">
        <v>75</v>
      </c>
      <c r="AS11" s="1" t="s">
        <v>75</v>
      </c>
      <c r="AT11" s="1" t="s">
        <v>75</v>
      </c>
      <c r="AU11" s="1" t="s">
        <v>168</v>
      </c>
      <c r="AV11" s="1">
        <v>2023.0</v>
      </c>
      <c r="AW11" s="1">
        <v>161.0</v>
      </c>
      <c r="AX11" s="1" t="s">
        <v>75</v>
      </c>
      <c r="AY11" s="1" t="s">
        <v>75</v>
      </c>
      <c r="AZ11" s="1" t="s">
        <v>75</v>
      </c>
      <c r="BA11" s="1" t="s">
        <v>75</v>
      </c>
      <c r="BB11" s="1" t="s">
        <v>75</v>
      </c>
      <c r="BC11" s="1" t="s">
        <v>75</v>
      </c>
      <c r="BD11" s="1" t="s">
        <v>75</v>
      </c>
      <c r="BE11" s="1">
        <v>126133.0</v>
      </c>
      <c r="BF11" s="1" t="s">
        <v>169</v>
      </c>
      <c r="BG11" s="3" t="str">
        <f>HYPERLINK("http://dx.doi.org/10.1016/j.zool.2023.126133","http://dx.doi.org/10.1016/j.zool.2023.126133")</f>
        <v>http://dx.doi.org/10.1016/j.zool.2023.126133</v>
      </c>
      <c r="BH11" s="1" t="s">
        <v>75</v>
      </c>
      <c r="BI11" s="1" t="s">
        <v>170</v>
      </c>
      <c r="BJ11" s="1" t="s">
        <v>75</v>
      </c>
      <c r="BK11" s="1" t="s">
        <v>75</v>
      </c>
      <c r="BL11" s="1" t="s">
        <v>75</v>
      </c>
      <c r="BM11" s="1" t="s">
        <v>75</v>
      </c>
      <c r="BN11" s="1" t="s">
        <v>75</v>
      </c>
      <c r="BO11" s="1">
        <v>3.7979211E7</v>
      </c>
      <c r="BP11" s="1" t="s">
        <v>75</v>
      </c>
      <c r="BQ11" s="1" t="s">
        <v>75</v>
      </c>
      <c r="BR11" s="1" t="s">
        <v>75</v>
      </c>
      <c r="BS11" s="1" t="s">
        <v>75</v>
      </c>
      <c r="BT11" s="1" t="s">
        <v>171</v>
      </c>
      <c r="BU11" s="1" t="str">
        <f>HYPERLINK("https%3A%2F%2Fwww.webofscience.com%2Fwos%2Fwoscc%2Ffull-record%2FWOS:001146970900001","View Full Record in Web of Science")</f>
        <v>View Full Record in Web of Science</v>
      </c>
    </row>
    <row r="12" ht="12.75" customHeight="1">
      <c r="A12" s="1" t="s">
        <v>73</v>
      </c>
      <c r="B12" s="1" t="s">
        <v>172</v>
      </c>
      <c r="C12" s="1" t="s">
        <v>75</v>
      </c>
      <c r="D12" s="1" t="s">
        <v>75</v>
      </c>
      <c r="E12" s="1" t="s">
        <v>75</v>
      </c>
      <c r="F12" s="1" t="s">
        <v>173</v>
      </c>
      <c r="G12" s="1" t="s">
        <v>75</v>
      </c>
      <c r="H12" s="1" t="s">
        <v>75</v>
      </c>
      <c r="I12" s="1" t="s">
        <v>174</v>
      </c>
      <c r="J12" s="1" t="str">
        <f>IFERROR(__xludf.DUMMYFUNCTION("LOWER(TRIM(REGEXREPLACE(I12, ""[[:punct:]]"", """")))"),"recalibrating coastal and marine environmental governance through integrated data infrastructures the emmera platform")</f>
        <v>recalibrating coastal and marine environmental governance through integrated data infrastructures the emmera platform</v>
      </c>
      <c r="K12" s="1" t="s">
        <v>175</v>
      </c>
      <c r="L12" s="1" t="s">
        <v>75</v>
      </c>
      <c r="M12" s="1" t="s">
        <v>75</v>
      </c>
      <c r="N12" s="1" t="s">
        <v>75</v>
      </c>
      <c r="O12" s="1" t="s">
        <v>75</v>
      </c>
      <c r="P12" s="1" t="s">
        <v>75</v>
      </c>
      <c r="Q12" s="1" t="s">
        <v>75</v>
      </c>
      <c r="R12" s="1" t="s">
        <v>75</v>
      </c>
      <c r="S12" s="1" t="s">
        <v>75</v>
      </c>
      <c r="T12" s="1" t="s">
        <v>75</v>
      </c>
      <c r="U12" s="1" t="s">
        <v>75</v>
      </c>
      <c r="V12" s="1" t="s">
        <v>75</v>
      </c>
      <c r="W12" s="1" t="s">
        <v>75</v>
      </c>
      <c r="X12" s="1" t="s">
        <v>75</v>
      </c>
      <c r="Y12" s="1" t="s">
        <v>75</v>
      </c>
      <c r="Z12" s="1" t="s">
        <v>75</v>
      </c>
      <c r="AA12" s="1" t="s">
        <v>75</v>
      </c>
      <c r="AB12" s="1" t="s">
        <v>75</v>
      </c>
      <c r="AC12" s="1" t="s">
        <v>75</v>
      </c>
      <c r="AD12" s="1" t="s">
        <v>75</v>
      </c>
      <c r="AE12" s="1" t="s">
        <v>75</v>
      </c>
      <c r="AF12" s="1" t="s">
        <v>75</v>
      </c>
      <c r="AG12" s="1" t="s">
        <v>75</v>
      </c>
      <c r="AH12" s="1" t="s">
        <v>75</v>
      </c>
      <c r="AI12" s="1" t="s">
        <v>75</v>
      </c>
      <c r="AJ12" s="1" t="s">
        <v>75</v>
      </c>
      <c r="AK12" s="1" t="s">
        <v>75</v>
      </c>
      <c r="AL12" s="1" t="s">
        <v>75</v>
      </c>
      <c r="AM12" s="1" t="s">
        <v>75</v>
      </c>
      <c r="AN12" s="1" t="s">
        <v>75</v>
      </c>
      <c r="AO12" s="1" t="s">
        <v>75</v>
      </c>
      <c r="AP12" s="1" t="s">
        <v>75</v>
      </c>
      <c r="AQ12" s="1" t="s">
        <v>176</v>
      </c>
      <c r="AR12" s="1" t="s">
        <v>75</v>
      </c>
      <c r="AS12" s="1" t="s">
        <v>75</v>
      </c>
      <c r="AT12" s="1" t="s">
        <v>75</v>
      </c>
      <c r="AU12" s="1" t="s">
        <v>177</v>
      </c>
      <c r="AV12" s="1">
        <v>2026.0</v>
      </c>
      <c r="AW12" s="1">
        <v>18.0</v>
      </c>
      <c r="AX12" s="1">
        <v>14.0</v>
      </c>
      <c r="AY12" s="1" t="s">
        <v>75</v>
      </c>
      <c r="AZ12" s="1" t="s">
        <v>75</v>
      </c>
      <c r="BA12" s="1" t="s">
        <v>75</v>
      </c>
      <c r="BB12" s="1" t="s">
        <v>75</v>
      </c>
      <c r="BC12" s="1" t="s">
        <v>75</v>
      </c>
      <c r="BD12" s="1" t="s">
        <v>75</v>
      </c>
      <c r="BE12" s="1">
        <v>7144.0</v>
      </c>
      <c r="BF12" s="1" t="s">
        <v>178</v>
      </c>
      <c r="BG12" s="3" t="str">
        <f>HYPERLINK("http://dx.doi.org/10.3390/su18147144","http://dx.doi.org/10.3390/su18147144")</f>
        <v>http://dx.doi.org/10.3390/su18147144</v>
      </c>
      <c r="BH12" s="1" t="s">
        <v>75</v>
      </c>
      <c r="BI12" s="1" t="s">
        <v>179</v>
      </c>
      <c r="BJ12" s="1" t="s">
        <v>75</v>
      </c>
      <c r="BK12" s="1" t="s">
        <v>75</v>
      </c>
      <c r="BL12" s="1" t="s">
        <v>75</v>
      </c>
      <c r="BM12" s="1" t="s">
        <v>75</v>
      </c>
      <c r="BN12" s="1" t="s">
        <v>75</v>
      </c>
      <c r="BO12" s="1" t="s">
        <v>75</v>
      </c>
      <c r="BP12" s="1" t="s">
        <v>75</v>
      </c>
      <c r="BQ12" s="1" t="s">
        <v>75</v>
      </c>
      <c r="BR12" s="1" t="s">
        <v>75</v>
      </c>
      <c r="BS12" s="1" t="s">
        <v>75</v>
      </c>
      <c r="BT12" s="1" t="s">
        <v>180</v>
      </c>
      <c r="BU12" s="1" t="str">
        <f>HYPERLINK("https%3A%2F%2Fwww.webofscience.com%2Fwos%2Fwoscc%2Ffull-record%2FWOS:001833515700001","View Full Record in Web of Science")</f>
        <v>View Full Record in Web of Science</v>
      </c>
    </row>
    <row r="13" ht="12.75" customHeight="1">
      <c r="A13" s="1" t="s">
        <v>73</v>
      </c>
      <c r="B13" s="1" t="s">
        <v>181</v>
      </c>
      <c r="C13" s="1" t="s">
        <v>75</v>
      </c>
      <c r="D13" s="1" t="s">
        <v>75</v>
      </c>
      <c r="E13" s="1" t="s">
        <v>75</v>
      </c>
      <c r="F13" s="1" t="s">
        <v>182</v>
      </c>
      <c r="G13" s="1" t="s">
        <v>75</v>
      </c>
      <c r="H13" s="1" t="s">
        <v>75</v>
      </c>
      <c r="I13" s="1" t="s">
        <v>183</v>
      </c>
      <c r="J13" s="1" t="str">
        <f>IFERROR(__xludf.DUMMYFUNCTION("LOWER(TRIM(REGEXREPLACE(I13, ""[[:punct:]]"", """")))"),"toward phytoplankton parasite detection using autoencoders")</f>
        <v>toward phytoplankton parasite detection using autoencoders</v>
      </c>
      <c r="K13" s="1" t="s">
        <v>184</v>
      </c>
      <c r="L13" s="1" t="s">
        <v>75</v>
      </c>
      <c r="M13" s="1" t="s">
        <v>75</v>
      </c>
      <c r="N13" s="1" t="s">
        <v>75</v>
      </c>
      <c r="O13" s="1" t="s">
        <v>75</v>
      </c>
      <c r="P13" s="1" t="s">
        <v>75</v>
      </c>
      <c r="Q13" s="1" t="s">
        <v>75</v>
      </c>
      <c r="R13" s="1" t="s">
        <v>75</v>
      </c>
      <c r="S13" s="1" t="s">
        <v>75</v>
      </c>
      <c r="T13" s="1" t="s">
        <v>75</v>
      </c>
      <c r="U13" s="1" t="s">
        <v>75</v>
      </c>
      <c r="V13" s="1" t="s">
        <v>75</v>
      </c>
      <c r="W13" s="1" t="s">
        <v>75</v>
      </c>
      <c r="X13" s="1" t="s">
        <v>75</v>
      </c>
      <c r="Y13" s="1" t="s">
        <v>75</v>
      </c>
      <c r="Z13" s="1" t="s">
        <v>75</v>
      </c>
      <c r="AA13" s="1" t="s">
        <v>75</v>
      </c>
      <c r="AB13" s="1" t="s">
        <v>185</v>
      </c>
      <c r="AC13" s="1" t="s">
        <v>186</v>
      </c>
      <c r="AD13" s="1" t="s">
        <v>75</v>
      </c>
      <c r="AE13" s="1" t="s">
        <v>75</v>
      </c>
      <c r="AF13" s="1" t="s">
        <v>75</v>
      </c>
      <c r="AG13" s="1" t="s">
        <v>75</v>
      </c>
      <c r="AH13" s="1" t="s">
        <v>75</v>
      </c>
      <c r="AI13" s="1" t="s">
        <v>75</v>
      </c>
      <c r="AJ13" s="1" t="s">
        <v>75</v>
      </c>
      <c r="AK13" s="1" t="s">
        <v>75</v>
      </c>
      <c r="AL13" s="1" t="s">
        <v>75</v>
      </c>
      <c r="AM13" s="1" t="s">
        <v>75</v>
      </c>
      <c r="AN13" s="1" t="s">
        <v>75</v>
      </c>
      <c r="AO13" s="1" t="s">
        <v>75</v>
      </c>
      <c r="AP13" s="1" t="s">
        <v>187</v>
      </c>
      <c r="AQ13" s="1" t="s">
        <v>188</v>
      </c>
      <c r="AR13" s="1" t="s">
        <v>75</v>
      </c>
      <c r="AS13" s="1" t="s">
        <v>75</v>
      </c>
      <c r="AT13" s="1" t="s">
        <v>75</v>
      </c>
      <c r="AU13" s="1" t="s">
        <v>111</v>
      </c>
      <c r="AV13" s="1">
        <v>2023.0</v>
      </c>
      <c r="AW13" s="1">
        <v>34.0</v>
      </c>
      <c r="AX13" s="1">
        <v>6.0</v>
      </c>
      <c r="AY13" s="1" t="s">
        <v>75</v>
      </c>
      <c r="AZ13" s="1" t="s">
        <v>75</v>
      </c>
      <c r="BA13" s="1" t="s">
        <v>75</v>
      </c>
      <c r="BB13" s="1" t="s">
        <v>75</v>
      </c>
      <c r="BC13" s="1" t="s">
        <v>75</v>
      </c>
      <c r="BD13" s="1" t="s">
        <v>75</v>
      </c>
      <c r="BE13" s="1">
        <v>101.0</v>
      </c>
      <c r="BF13" s="1" t="s">
        <v>189</v>
      </c>
      <c r="BG13" s="3" t="str">
        <f>HYPERLINK("http://dx.doi.org/10.1007/s00138-023-01450-x","http://dx.doi.org/10.1007/s00138-023-01450-x")</f>
        <v>http://dx.doi.org/10.1007/s00138-023-01450-x</v>
      </c>
      <c r="BH13" s="1" t="s">
        <v>75</v>
      </c>
      <c r="BI13" s="1" t="s">
        <v>75</v>
      </c>
      <c r="BJ13" s="1" t="s">
        <v>75</v>
      </c>
      <c r="BK13" s="1" t="s">
        <v>75</v>
      </c>
      <c r="BL13" s="1" t="s">
        <v>75</v>
      </c>
      <c r="BM13" s="1" t="s">
        <v>75</v>
      </c>
      <c r="BN13" s="1" t="s">
        <v>75</v>
      </c>
      <c r="BO13" s="1" t="s">
        <v>75</v>
      </c>
      <c r="BP13" s="1" t="s">
        <v>75</v>
      </c>
      <c r="BQ13" s="1" t="s">
        <v>75</v>
      </c>
      <c r="BR13" s="1" t="s">
        <v>75</v>
      </c>
      <c r="BS13" s="1" t="s">
        <v>75</v>
      </c>
      <c r="BT13" s="1" t="s">
        <v>190</v>
      </c>
      <c r="BU13" s="1" t="str">
        <f>HYPERLINK("https%3A%2F%2Fwww.webofscience.com%2Fwos%2Fwoscc%2Ffull-record%2FWOS:001190983400001","View Full Record in Web of Science")</f>
        <v>View Full Record in Web of Science</v>
      </c>
    </row>
    <row r="14" ht="12.75" customHeight="1">
      <c r="A14" s="1" t="s">
        <v>73</v>
      </c>
      <c r="B14" s="1" t="s">
        <v>191</v>
      </c>
      <c r="C14" s="1" t="s">
        <v>75</v>
      </c>
      <c r="D14" s="1" t="s">
        <v>75</v>
      </c>
      <c r="E14" s="1" t="s">
        <v>75</v>
      </c>
      <c r="F14" s="1" t="s">
        <v>192</v>
      </c>
      <c r="G14" s="1" t="s">
        <v>75</v>
      </c>
      <c r="H14" s="1" t="s">
        <v>75</v>
      </c>
      <c r="I14" s="1" t="s">
        <v>193</v>
      </c>
      <c r="J14" s="1" t="str">
        <f>IFERROR(__xludf.DUMMYFUNCTION("LOWER(TRIM(REGEXREPLACE(I14, ""[[:punct:]]"", """")))"),"from vts monitoring to smart warnings big data applications in channel safety management")</f>
        <v>from vts monitoring to smart warnings big data applications in channel safety management</v>
      </c>
      <c r="K14" s="1" t="s">
        <v>78</v>
      </c>
      <c r="L14" s="1" t="s">
        <v>75</v>
      </c>
      <c r="M14" s="1" t="s">
        <v>75</v>
      </c>
      <c r="N14" s="1" t="s">
        <v>75</v>
      </c>
      <c r="O14" s="1" t="s">
        <v>75</v>
      </c>
      <c r="P14" s="1" t="s">
        <v>75</v>
      </c>
      <c r="Q14" s="1" t="s">
        <v>75</v>
      </c>
      <c r="R14" s="1" t="s">
        <v>75</v>
      </c>
      <c r="S14" s="1" t="s">
        <v>75</v>
      </c>
      <c r="T14" s="1" t="s">
        <v>75</v>
      </c>
      <c r="U14" s="1" t="s">
        <v>75</v>
      </c>
      <c r="V14" s="1" t="s">
        <v>75</v>
      </c>
      <c r="W14" s="1" t="s">
        <v>75</v>
      </c>
      <c r="X14" s="1" t="s">
        <v>75</v>
      </c>
      <c r="Y14" s="1" t="s">
        <v>75</v>
      </c>
      <c r="Z14" s="1" t="s">
        <v>75</v>
      </c>
      <c r="AA14" s="1" t="s">
        <v>75</v>
      </c>
      <c r="AB14" s="1" t="s">
        <v>75</v>
      </c>
      <c r="AC14" s="1" t="s">
        <v>75</v>
      </c>
      <c r="AD14" s="1" t="s">
        <v>75</v>
      </c>
      <c r="AE14" s="1" t="s">
        <v>75</v>
      </c>
      <c r="AF14" s="1" t="s">
        <v>75</v>
      </c>
      <c r="AG14" s="1" t="s">
        <v>75</v>
      </c>
      <c r="AH14" s="1" t="s">
        <v>75</v>
      </c>
      <c r="AI14" s="1" t="s">
        <v>75</v>
      </c>
      <c r="AJ14" s="1" t="s">
        <v>75</v>
      </c>
      <c r="AK14" s="1" t="s">
        <v>75</v>
      </c>
      <c r="AL14" s="1" t="s">
        <v>75</v>
      </c>
      <c r="AM14" s="1" t="s">
        <v>75</v>
      </c>
      <c r="AN14" s="1" t="s">
        <v>75</v>
      </c>
      <c r="AO14" s="1" t="s">
        <v>75</v>
      </c>
      <c r="AP14" s="1" t="s">
        <v>75</v>
      </c>
      <c r="AQ14" s="1" t="s">
        <v>80</v>
      </c>
      <c r="AR14" s="1" t="s">
        <v>75</v>
      </c>
      <c r="AS14" s="1" t="s">
        <v>75</v>
      </c>
      <c r="AT14" s="1" t="s">
        <v>75</v>
      </c>
      <c r="AU14" s="1" t="s">
        <v>194</v>
      </c>
      <c r="AV14" s="1">
        <v>2025.0</v>
      </c>
      <c r="AW14" s="1">
        <v>13.0</v>
      </c>
      <c r="AX14" s="1">
        <v>12.0</v>
      </c>
      <c r="AY14" s="1" t="s">
        <v>75</v>
      </c>
      <c r="AZ14" s="1" t="s">
        <v>75</v>
      </c>
      <c r="BA14" s="1" t="s">
        <v>75</v>
      </c>
      <c r="BB14" s="1" t="s">
        <v>75</v>
      </c>
      <c r="BC14" s="1" t="s">
        <v>75</v>
      </c>
      <c r="BD14" s="1" t="s">
        <v>75</v>
      </c>
      <c r="BE14" s="1">
        <v>2324.0</v>
      </c>
      <c r="BF14" s="1" t="s">
        <v>195</v>
      </c>
      <c r="BG14" s="3" t="str">
        <f>HYPERLINK("http://dx.doi.org/10.3390/jmse13122324","http://dx.doi.org/10.3390/jmse13122324")</f>
        <v>http://dx.doi.org/10.3390/jmse13122324</v>
      </c>
      <c r="BH14" s="1" t="s">
        <v>75</v>
      </c>
      <c r="BI14" s="1" t="s">
        <v>75</v>
      </c>
      <c r="BJ14" s="1" t="s">
        <v>75</v>
      </c>
      <c r="BK14" s="1" t="s">
        <v>75</v>
      </c>
      <c r="BL14" s="1" t="s">
        <v>75</v>
      </c>
      <c r="BM14" s="1" t="s">
        <v>75</v>
      </c>
      <c r="BN14" s="1" t="s">
        <v>75</v>
      </c>
      <c r="BO14" s="1" t="s">
        <v>75</v>
      </c>
      <c r="BP14" s="1" t="s">
        <v>75</v>
      </c>
      <c r="BQ14" s="1" t="s">
        <v>75</v>
      </c>
      <c r="BR14" s="1" t="s">
        <v>75</v>
      </c>
      <c r="BS14" s="1" t="s">
        <v>75</v>
      </c>
      <c r="BT14" s="1" t="s">
        <v>196</v>
      </c>
      <c r="BU14" s="1" t="str">
        <f>HYPERLINK("https%3A%2F%2Fwww.webofscience.com%2Fwos%2Fwoscc%2Ffull-record%2FWOS:001647506200001","View Full Record in Web of Science")</f>
        <v>View Full Record in Web of Science</v>
      </c>
    </row>
    <row r="15" ht="12.75" customHeight="1">
      <c r="A15" s="1" t="s">
        <v>73</v>
      </c>
      <c r="B15" s="1" t="s">
        <v>197</v>
      </c>
      <c r="C15" s="1" t="s">
        <v>75</v>
      </c>
      <c r="D15" s="1" t="s">
        <v>75</v>
      </c>
      <c r="E15" s="1" t="s">
        <v>75</v>
      </c>
      <c r="F15" s="1" t="s">
        <v>198</v>
      </c>
      <c r="G15" s="1" t="s">
        <v>75</v>
      </c>
      <c r="H15" s="1" t="s">
        <v>75</v>
      </c>
      <c r="I15" s="1" t="s">
        <v>199</v>
      </c>
      <c r="J15" s="1" t="str">
        <f>IFERROR(__xludf.DUMMYFUNCTION("LOWER(TRIM(REGEXREPLACE(I15, ""[[:punct:]]"", """")))"),"artificial intelligence and sustainable practices in coastal marinas a comparative study of monaco and ibiza")</f>
        <v>artificial intelligence and sustainable practices in coastal marinas a comparative study of monaco and ibiza</v>
      </c>
      <c r="K15" s="1" t="s">
        <v>175</v>
      </c>
      <c r="L15" s="1" t="s">
        <v>75</v>
      </c>
      <c r="M15" s="1" t="s">
        <v>75</v>
      </c>
      <c r="N15" s="1" t="s">
        <v>75</v>
      </c>
      <c r="O15" s="1" t="s">
        <v>75</v>
      </c>
      <c r="P15" s="1" t="s">
        <v>75</v>
      </c>
      <c r="Q15" s="1" t="s">
        <v>75</v>
      </c>
      <c r="R15" s="1" t="s">
        <v>75</v>
      </c>
      <c r="S15" s="1" t="s">
        <v>75</v>
      </c>
      <c r="T15" s="1" t="s">
        <v>75</v>
      </c>
      <c r="U15" s="1" t="s">
        <v>75</v>
      </c>
      <c r="V15" s="1" t="s">
        <v>75</v>
      </c>
      <c r="W15" s="1" t="s">
        <v>75</v>
      </c>
      <c r="X15" s="1" t="s">
        <v>75</v>
      </c>
      <c r="Y15" s="1" t="s">
        <v>75</v>
      </c>
      <c r="Z15" s="1" t="s">
        <v>75</v>
      </c>
      <c r="AA15" s="1" t="s">
        <v>75</v>
      </c>
      <c r="AB15" s="1" t="s">
        <v>200</v>
      </c>
      <c r="AC15" s="1" t="s">
        <v>201</v>
      </c>
      <c r="AD15" s="1" t="s">
        <v>75</v>
      </c>
      <c r="AE15" s="1" t="s">
        <v>75</v>
      </c>
      <c r="AF15" s="1" t="s">
        <v>75</v>
      </c>
      <c r="AG15" s="1" t="s">
        <v>75</v>
      </c>
      <c r="AH15" s="1" t="s">
        <v>75</v>
      </c>
      <c r="AI15" s="1" t="s">
        <v>75</v>
      </c>
      <c r="AJ15" s="1" t="s">
        <v>75</v>
      </c>
      <c r="AK15" s="1" t="s">
        <v>75</v>
      </c>
      <c r="AL15" s="1" t="s">
        <v>75</v>
      </c>
      <c r="AM15" s="1" t="s">
        <v>75</v>
      </c>
      <c r="AN15" s="1" t="s">
        <v>75</v>
      </c>
      <c r="AO15" s="1" t="s">
        <v>75</v>
      </c>
      <c r="AP15" s="1" t="s">
        <v>75</v>
      </c>
      <c r="AQ15" s="1" t="s">
        <v>176</v>
      </c>
      <c r="AR15" s="1" t="s">
        <v>75</v>
      </c>
      <c r="AS15" s="1" t="s">
        <v>75</v>
      </c>
      <c r="AT15" s="1" t="s">
        <v>75</v>
      </c>
      <c r="AU15" s="1" t="s">
        <v>202</v>
      </c>
      <c r="AV15" s="1">
        <v>2025.0</v>
      </c>
      <c r="AW15" s="1">
        <v>17.0</v>
      </c>
      <c r="AX15" s="1">
        <v>16.0</v>
      </c>
      <c r="AY15" s="1" t="s">
        <v>75</v>
      </c>
      <c r="AZ15" s="1" t="s">
        <v>75</v>
      </c>
      <c r="BA15" s="1" t="s">
        <v>75</v>
      </c>
      <c r="BB15" s="1" t="s">
        <v>75</v>
      </c>
      <c r="BC15" s="1" t="s">
        <v>75</v>
      </c>
      <c r="BD15" s="1" t="s">
        <v>75</v>
      </c>
      <c r="BE15" s="1">
        <v>7404.0</v>
      </c>
      <c r="BF15" s="1" t="s">
        <v>203</v>
      </c>
      <c r="BG15" s="3" t="str">
        <f>HYPERLINK("http://dx.doi.org/10.3390/su17167404","http://dx.doi.org/10.3390/su17167404")</f>
        <v>http://dx.doi.org/10.3390/su17167404</v>
      </c>
      <c r="BH15" s="1" t="s">
        <v>75</v>
      </c>
      <c r="BI15" s="1" t="s">
        <v>75</v>
      </c>
      <c r="BJ15" s="1" t="s">
        <v>75</v>
      </c>
      <c r="BK15" s="1" t="s">
        <v>75</v>
      </c>
      <c r="BL15" s="1" t="s">
        <v>75</v>
      </c>
      <c r="BM15" s="1" t="s">
        <v>75</v>
      </c>
      <c r="BN15" s="1" t="s">
        <v>75</v>
      </c>
      <c r="BO15" s="1" t="s">
        <v>75</v>
      </c>
      <c r="BP15" s="1" t="s">
        <v>75</v>
      </c>
      <c r="BQ15" s="1" t="s">
        <v>75</v>
      </c>
      <c r="BR15" s="1" t="s">
        <v>75</v>
      </c>
      <c r="BS15" s="1" t="s">
        <v>75</v>
      </c>
      <c r="BT15" s="1" t="s">
        <v>204</v>
      </c>
      <c r="BU15" s="1" t="str">
        <f>HYPERLINK("https%3A%2F%2Fwww.webofscience.com%2Fwos%2Fwoscc%2Ffull-record%2FWOS:001558415500001","View Full Record in Web of Science")</f>
        <v>View Full Record in Web of Science</v>
      </c>
    </row>
    <row r="16" ht="12.75" customHeight="1">
      <c r="A16" s="1" t="s">
        <v>73</v>
      </c>
      <c r="B16" s="1" t="s">
        <v>205</v>
      </c>
      <c r="C16" s="1" t="s">
        <v>75</v>
      </c>
      <c r="D16" s="1" t="s">
        <v>75</v>
      </c>
      <c r="E16" s="1" t="s">
        <v>75</v>
      </c>
      <c r="F16" s="1" t="s">
        <v>206</v>
      </c>
      <c r="G16" s="1" t="s">
        <v>75</v>
      </c>
      <c r="H16" s="1" t="s">
        <v>75</v>
      </c>
      <c r="I16" s="1" t="s">
        <v>207</v>
      </c>
      <c r="J16" s="1" t="str">
        <f>IFERROR(__xludf.DUMMYFUNCTION("LOWER(TRIM(REGEXREPLACE(I16, ""[[:punct:]]"", """")))"),"ramex an r package for highthroughput microbial ramanome analyses with accurate quality assessment")</f>
        <v>ramex an r package for highthroughput microbial ramanome analyses with accurate quality assessment</v>
      </c>
      <c r="K16" s="1" t="s">
        <v>208</v>
      </c>
      <c r="L16" s="1" t="s">
        <v>75</v>
      </c>
      <c r="M16" s="1" t="s">
        <v>75</v>
      </c>
      <c r="N16" s="1" t="s">
        <v>75</v>
      </c>
      <c r="O16" s="1" t="s">
        <v>75</v>
      </c>
      <c r="P16" s="1" t="s">
        <v>75</v>
      </c>
      <c r="Q16" s="1" t="s">
        <v>75</v>
      </c>
      <c r="R16" s="1" t="s">
        <v>75</v>
      </c>
      <c r="S16" s="1" t="s">
        <v>75</v>
      </c>
      <c r="T16" s="1" t="s">
        <v>75</v>
      </c>
      <c r="U16" s="1" t="s">
        <v>75</v>
      </c>
      <c r="V16" s="1" t="s">
        <v>75</v>
      </c>
      <c r="W16" s="1" t="s">
        <v>75</v>
      </c>
      <c r="X16" s="1" t="s">
        <v>75</v>
      </c>
      <c r="Y16" s="1" t="s">
        <v>75</v>
      </c>
      <c r="Z16" s="1" t="s">
        <v>75</v>
      </c>
      <c r="AA16" s="1" t="s">
        <v>75</v>
      </c>
      <c r="AB16" s="1" t="s">
        <v>209</v>
      </c>
      <c r="AC16" s="1" t="s">
        <v>75</v>
      </c>
      <c r="AD16" s="1" t="s">
        <v>75</v>
      </c>
      <c r="AE16" s="1" t="s">
        <v>75</v>
      </c>
      <c r="AF16" s="1" t="s">
        <v>75</v>
      </c>
      <c r="AG16" s="1" t="s">
        <v>75</v>
      </c>
      <c r="AH16" s="1" t="s">
        <v>75</v>
      </c>
      <c r="AI16" s="1" t="s">
        <v>75</v>
      </c>
      <c r="AJ16" s="1" t="s">
        <v>75</v>
      </c>
      <c r="AK16" s="1" t="s">
        <v>75</v>
      </c>
      <c r="AL16" s="1" t="s">
        <v>75</v>
      </c>
      <c r="AM16" s="1" t="s">
        <v>75</v>
      </c>
      <c r="AN16" s="1" t="s">
        <v>75</v>
      </c>
      <c r="AO16" s="1" t="s">
        <v>75</v>
      </c>
      <c r="AP16" s="1" t="s">
        <v>210</v>
      </c>
      <c r="AQ16" s="1" t="s">
        <v>75</v>
      </c>
      <c r="AR16" s="1" t="s">
        <v>75</v>
      </c>
      <c r="AS16" s="1" t="s">
        <v>75</v>
      </c>
      <c r="AT16" s="1" t="s">
        <v>75</v>
      </c>
      <c r="AU16" s="1" t="s">
        <v>211</v>
      </c>
      <c r="AV16" s="1">
        <v>2026.0</v>
      </c>
      <c r="AW16" s="1">
        <v>14.0</v>
      </c>
      <c r="AX16" s="1">
        <v>1.0</v>
      </c>
      <c r="AY16" s="1" t="s">
        <v>75</v>
      </c>
      <c r="AZ16" s="1" t="s">
        <v>75</v>
      </c>
      <c r="BA16" s="1" t="s">
        <v>75</v>
      </c>
      <c r="BB16" s="1" t="s">
        <v>75</v>
      </c>
      <c r="BC16" s="1" t="s">
        <v>75</v>
      </c>
      <c r="BD16" s="1" t="s">
        <v>75</v>
      </c>
      <c r="BE16" s="1">
        <v>89.0</v>
      </c>
      <c r="BF16" s="1" t="s">
        <v>212</v>
      </c>
      <c r="BG16" s="3" t="str">
        <f>HYPERLINK("http://dx.doi.org/10.1186/s40168-026-02339-3","http://dx.doi.org/10.1186/s40168-026-02339-3")</f>
        <v>http://dx.doi.org/10.1186/s40168-026-02339-3</v>
      </c>
      <c r="BH16" s="1" t="s">
        <v>75</v>
      </c>
      <c r="BI16" s="1" t="s">
        <v>75</v>
      </c>
      <c r="BJ16" s="1" t="s">
        <v>75</v>
      </c>
      <c r="BK16" s="1" t="s">
        <v>75</v>
      </c>
      <c r="BL16" s="1" t="s">
        <v>75</v>
      </c>
      <c r="BM16" s="1" t="s">
        <v>75</v>
      </c>
      <c r="BN16" s="1" t="s">
        <v>75</v>
      </c>
      <c r="BO16" s="1">
        <v>4.1668183E7</v>
      </c>
      <c r="BP16" s="1" t="s">
        <v>75</v>
      </c>
      <c r="BQ16" s="1" t="s">
        <v>75</v>
      </c>
      <c r="BR16" s="1" t="s">
        <v>75</v>
      </c>
      <c r="BS16" s="1" t="s">
        <v>75</v>
      </c>
      <c r="BT16" s="1" t="s">
        <v>213</v>
      </c>
      <c r="BU16" s="1" t="str">
        <f>HYPERLINK("https%3A%2F%2Fwww.webofscience.com%2Fwos%2Fwoscc%2Ffull-record%2FWOS:001715751900002","View Full Record in Web of Science")</f>
        <v>View Full Record in Web of Science</v>
      </c>
    </row>
    <row r="17" ht="12.75" customHeight="1">
      <c r="A17" s="1" t="s">
        <v>73</v>
      </c>
      <c r="B17" s="1" t="s">
        <v>214</v>
      </c>
      <c r="C17" s="1" t="s">
        <v>75</v>
      </c>
      <c r="D17" s="1" t="s">
        <v>75</v>
      </c>
      <c r="E17" s="1" t="s">
        <v>75</v>
      </c>
      <c r="F17" s="1" t="s">
        <v>215</v>
      </c>
      <c r="G17" s="1" t="s">
        <v>75</v>
      </c>
      <c r="H17" s="1" t="s">
        <v>75</v>
      </c>
      <c r="I17" s="1" t="s">
        <v>216</v>
      </c>
      <c r="J17" s="1" t="str">
        <f>IFERROR(__xludf.DUMMYFUNCTION("LOWER(TRIM(REGEXREPLACE(I17, ""[[:punct:]]"", """")))"),"monitoring and prediction of the spongy moth lymantria dispar outbreaks in mountain s landscape using a combination of sentinel2 images and nonlinear time series model")</f>
        <v>monitoring and prediction of the spongy moth lymantria dispar outbreaks in mountain s landscape using a combination of sentinel2 images and nonlinear time series model</v>
      </c>
      <c r="K17" s="1" t="s">
        <v>217</v>
      </c>
      <c r="L17" s="1" t="s">
        <v>75</v>
      </c>
      <c r="M17" s="1" t="s">
        <v>75</v>
      </c>
      <c r="N17" s="1" t="s">
        <v>75</v>
      </c>
      <c r="O17" s="1" t="s">
        <v>75</v>
      </c>
      <c r="P17" s="1" t="s">
        <v>75</v>
      </c>
      <c r="Q17" s="1" t="s">
        <v>75</v>
      </c>
      <c r="R17" s="1" t="s">
        <v>75</v>
      </c>
      <c r="S17" s="1" t="s">
        <v>75</v>
      </c>
      <c r="T17" s="1" t="s">
        <v>75</v>
      </c>
      <c r="U17" s="1" t="s">
        <v>75</v>
      </c>
      <c r="V17" s="1" t="s">
        <v>75</v>
      </c>
      <c r="W17" s="1" t="s">
        <v>75</v>
      </c>
      <c r="X17" s="1" t="s">
        <v>75</v>
      </c>
      <c r="Y17" s="1" t="s">
        <v>75</v>
      </c>
      <c r="Z17" s="1" t="s">
        <v>75</v>
      </c>
      <c r="AA17" s="1" t="s">
        <v>75</v>
      </c>
      <c r="AB17" s="1" t="s">
        <v>218</v>
      </c>
      <c r="AC17" s="1" t="s">
        <v>219</v>
      </c>
      <c r="AD17" s="1" t="s">
        <v>75</v>
      </c>
      <c r="AE17" s="1" t="s">
        <v>75</v>
      </c>
      <c r="AF17" s="1" t="s">
        <v>75</v>
      </c>
      <c r="AG17" s="1" t="s">
        <v>75</v>
      </c>
      <c r="AH17" s="1" t="s">
        <v>75</v>
      </c>
      <c r="AI17" s="1" t="s">
        <v>75</v>
      </c>
      <c r="AJ17" s="1" t="s">
        <v>75</v>
      </c>
      <c r="AK17" s="1" t="s">
        <v>75</v>
      </c>
      <c r="AL17" s="1" t="s">
        <v>75</v>
      </c>
      <c r="AM17" s="1" t="s">
        <v>75</v>
      </c>
      <c r="AN17" s="1" t="s">
        <v>75</v>
      </c>
      <c r="AO17" s="1" t="s">
        <v>75</v>
      </c>
      <c r="AP17" s="1" t="s">
        <v>220</v>
      </c>
      <c r="AQ17" s="1" t="s">
        <v>221</v>
      </c>
      <c r="AR17" s="1" t="s">
        <v>75</v>
      </c>
      <c r="AS17" s="1" t="s">
        <v>75</v>
      </c>
      <c r="AT17" s="1" t="s">
        <v>75</v>
      </c>
      <c r="AU17" s="1" t="s">
        <v>222</v>
      </c>
      <c r="AV17" s="1">
        <v>2024.0</v>
      </c>
      <c r="AW17" s="1">
        <v>563.0</v>
      </c>
      <c r="AX17" s="1" t="s">
        <v>75</v>
      </c>
      <c r="AY17" s="1" t="s">
        <v>75</v>
      </c>
      <c r="AZ17" s="1" t="s">
        <v>75</v>
      </c>
      <c r="BA17" s="1" t="s">
        <v>75</v>
      </c>
      <c r="BB17" s="1" t="s">
        <v>75</v>
      </c>
      <c r="BC17" s="1" t="s">
        <v>75</v>
      </c>
      <c r="BD17" s="1" t="s">
        <v>75</v>
      </c>
      <c r="BE17" s="1">
        <v>121975.0</v>
      </c>
      <c r="BF17" s="1" t="s">
        <v>223</v>
      </c>
      <c r="BG17" s="3" t="str">
        <f>HYPERLINK("http://dx.doi.org/10.1016/j.foreco.2024.121975","http://dx.doi.org/10.1016/j.foreco.2024.121975")</f>
        <v>http://dx.doi.org/10.1016/j.foreco.2024.121975</v>
      </c>
      <c r="BH17" s="1" t="s">
        <v>75</v>
      </c>
      <c r="BI17" s="1" t="s">
        <v>224</v>
      </c>
      <c r="BJ17" s="1" t="s">
        <v>75</v>
      </c>
      <c r="BK17" s="1" t="s">
        <v>75</v>
      </c>
      <c r="BL17" s="1" t="s">
        <v>75</v>
      </c>
      <c r="BM17" s="1" t="s">
        <v>75</v>
      </c>
      <c r="BN17" s="1" t="s">
        <v>75</v>
      </c>
      <c r="BO17" s="1" t="s">
        <v>75</v>
      </c>
      <c r="BP17" s="1" t="s">
        <v>75</v>
      </c>
      <c r="BQ17" s="1" t="s">
        <v>75</v>
      </c>
      <c r="BR17" s="1" t="s">
        <v>75</v>
      </c>
      <c r="BS17" s="1" t="s">
        <v>75</v>
      </c>
      <c r="BT17" s="1" t="s">
        <v>225</v>
      </c>
      <c r="BU17" s="1" t="str">
        <f>HYPERLINK("https%3A%2F%2Fwww.webofscience.com%2Fwos%2Fwoscc%2Ffull-record%2FWOS:001241742400001","View Full Record in Web of Science")</f>
        <v>View Full Record in Web of Science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