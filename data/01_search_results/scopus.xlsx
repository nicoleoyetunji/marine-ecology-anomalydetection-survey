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14708f3ddd34eb0/Documents/PhD 2026/marineecology-anomalydetection-survey/data/01_search_results/"/>
    </mc:Choice>
  </mc:AlternateContent>
  <xr:revisionPtr revIDLastSave="0" documentId="11_C4487574EB644BE747111952FB3F4B84B0193806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_3f23d4ee-252a-4c9a-9b8d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<sst xmlns="http://schemas.openxmlformats.org/spreadsheetml/2006/main" count="138" uniqueCount="108">
  <si>
    <t>Authors</t>
  </si>
  <si>
    <t>Author full names</t>
  </si>
  <si>
    <t>Author(s) ID</t>
  </si>
  <si>
    <t>Title</t>
  </si>
  <si>
    <t>Clean Title</t>
  </si>
  <si>
    <t>Year</t>
  </si>
  <si>
    <t>Source title</t>
  </si>
  <si>
    <t>Volume</t>
  </si>
  <si>
    <t>Issue</t>
  </si>
  <si>
    <t>Art. No.</t>
  </si>
  <si>
    <t>Page start</t>
  </si>
  <si>
    <t>Page end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</si>
  <si>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</si>
  <si>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</si>
  <si>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</si>
  <si>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</si>
  <si>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</si>
  <si>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</si>
  <si>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</si>
  <si>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</si>
  <si>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Ioras F.; Bandara I.</t>
  </si>
  <si>
    <t>Ioras, Florin (6507378119); Bandara, Indrachapa (57201293296)</t>
  </si>
  <si>
    <t>6507378119; 57201293296</t>
  </si>
  <si>
    <t>Artificial Intelligence and Sustainable Practices in Coastal Marinas: A Comparative Study of Monaco and Ibiza</t>
  </si>
  <si>
    <t>Sustainability (Switzerland)</t>
  </si>
  <si>
    <t>10.3390/su17167404</t>
  </si>
  <si>
    <t>https://www.scopus.com/pages/publications/105014256139?origin=resultslist</t>
  </si>
  <si>
    <t>Article</t>
  </si>
  <si>
    <t>Final</t>
  </si>
  <si>
    <t>All Open Access; Gold Open Access; Green Open Access</t>
  </si>
  <si>
    <t>Scopus</t>
  </si>
  <si>
    <t>2-s2.0-105014256139</t>
  </si>
  <si>
    <t>Menelaou A.; Makrominas M.; Plomaritou E.; Hein C.</t>
  </si>
  <si>
    <t>Menelaou, Angelos (55574755300); Makrominas, Michalis (56502169000); Plomaritou, Evi (26428921700); Hein, Carola (7004099379)</t>
  </si>
  <si>
    <t>55574755300; 56502169000; 26428921700; 7004099379</t>
  </si>
  <si>
    <t>Recalibrating Coastal and Marine Environmental Governance Through Integrated Data Infrastructures: The EMMERA Platform</t>
  </si>
  <si>
    <t>10.3390/su18147144</t>
  </si>
  <si>
    <t>https://www.scopus.com/pages/publications/105045923122?origin=resultslist</t>
  </si>
  <si>
    <t>All Open Access; Gold Open Access</t>
  </si>
  <si>
    <t>2-s2.0-105045923122</t>
  </si>
  <si>
    <t>Kapoor C.; Singh B.; Popli N.K.; Mamun M.</t>
  </si>
  <si>
    <t>Kapoor, Chinmay (57222720483); Singh, Bhan (60206087600); Popli, Navneet Kaur (57203917221); Mamun, Mohammad (55536794000)</t>
  </si>
  <si>
    <t>57222720483; 60206087600; 57203917221; 55536794000</t>
  </si>
  <si>
    <t>FUSTT: Forecasting Using Spatio-Temporal Transformers for Predicting Marine Stressors of Blue-Carbon Ecosystems</t>
  </si>
  <si>
    <t>IEEE Journal of Selected Topics in Applied Earth Observations and Remote Sensing</t>
  </si>
  <si>
    <t>10.1109/JSTARS.2025.3634525</t>
  </si>
  <si>
    <t>https://www.scopus.com/pages/publications/105022619038?origin=resultslist</t>
  </si>
  <si>
    <t>2-s2.0-105022619038</t>
  </si>
  <si>
    <t>Ding Y.; Lin M.</t>
  </si>
  <si>
    <t>Ding, Yu (59995403900); Lin, Mu (57216282494)</t>
  </si>
  <si>
    <t>59995403900; 57216282494</t>
  </si>
  <si>
    <t>Precision aquaculture strategies under the integration of intelligent monitoring and digital twin</t>
  </si>
  <si>
    <t>Proceedings of SPIE - The International Society for Optical Engineering</t>
  </si>
  <si>
    <t>136823G</t>
  </si>
  <si>
    <t>10.1117/12.3075620</t>
  </si>
  <si>
    <t>https://www.scopus.com/pages/publications/105010630984?origin=resultslist</t>
  </si>
  <si>
    <t>Conference paper</t>
  </si>
  <si>
    <t>2-s2.0-105010630984</t>
  </si>
  <si>
    <t>Du L.; Liu M.; Lv Z.; Tan C.; He J.; Yu F.</t>
  </si>
  <si>
    <t>Du, Libin (52963462000); Liu, Mingyang (57219182845); Lv, Zhichao (57190188809); Tan, Chuanhe (59524584000); He, Junkai (59524691700); Yu, Fei (57208664550)</t>
  </si>
  <si>
    <t>52963462000; 57219182845; 57190188809; 59524584000; 59524691700; 57208664550</t>
  </si>
  <si>
    <t>An End-to-End Ocean Environmental Noise Anomaly Detection Framework Combining Time–Frequency Information and Expert Gating</t>
  </si>
  <si>
    <t>Journal of Marine Science and Engineering</t>
  </si>
  <si>
    <t>10.3390/jmse13010141</t>
  </si>
  <si>
    <t>https://www.scopus.com/pages/publications/85215803420?origin=resultslist</t>
  </si>
  <si>
    <t>2-s2.0-85215803420</t>
  </si>
  <si>
    <t>Jin S.; Ma Y.; Gong W.; Ye Z.; Xia X.</t>
  </si>
  <si>
    <t>Jin, Shikuan (57204877833); Ma, Yingying (55535058500); Gong, Wei (15051249600); Ye, Zhiwei (12773366800); Xia, Xiaoyu (57457121900)</t>
  </si>
  <si>
    <t>57204877833; 55535058500; 15051249600; 12773366800; 57457121900</t>
  </si>
  <si>
    <t>Cloud detection for FY-3D MERSI Ⅱ images combine radiative transfer simulation and shallow neural network; [结合辐射传输模拟与浅层神经网络的 FY-3D MERSI 影像云识别]</t>
  </si>
  <si>
    <t>National Remote Sensing Bulletin</t>
  </si>
  <si>
    <t>10.11834/jrs.20210406</t>
  </si>
  <si>
    <t>https://www.scopus.com/pages/publications/85123978976?origin=resultslist</t>
  </si>
  <si>
    <t>All Open Access; Bronze Open Access</t>
  </si>
  <si>
    <t>2-s2.0-85123978976</t>
  </si>
  <si>
    <t>Minglong W.; Feng Z.; Hu J.</t>
  </si>
  <si>
    <t>Minglong, Wang (60336594100); Feng, Zhu (60335871800); Hu, Jian (60336451700)</t>
  </si>
  <si>
    <t>60336594100; 60335871800; 60336451700</t>
  </si>
  <si>
    <t>A machine learning-driven framework for enhancing underwater visual signal processing in marine ecosystem economic monitoring and anthropogenic impact assessment</t>
  </si>
  <si>
    <t>Frontiers in Environmental Science</t>
  </si>
  <si>
    <t>10.3389/fenvs.2025.1689855</t>
  </si>
  <si>
    <t>https://www.scopus.com/pages/publications/105027679577?origin=resultslist</t>
  </si>
  <si>
    <t>2-s2.0-105027679577</t>
  </si>
  <si>
    <t>Keerthiga K.; Jolin Ashika J.; Narmadha M.</t>
  </si>
  <si>
    <t>Keerthiga, K. (58107426400); Jolin Ashika, J. (59348342100); Narmadha, M. (58106444200)</t>
  </si>
  <si>
    <t>58107426400; 59348342100; 58106444200</t>
  </si>
  <si>
    <t>Next-Gen Maritime Security by Leveraging Advanced AIS Analytics for Precision Detection and Monitoring of Boats in Ocean</t>
  </si>
  <si>
    <t>2024 3rd International Conference on Smart Technologies and Systems for Next Generation Computing, ICSTSN 2024</t>
  </si>
  <si>
    <t>10.1109/ICSTSN61422.2024.10671165</t>
  </si>
  <si>
    <t>https://www.scopus.com/pages/publications/85205290442?origin=resultslist</t>
  </si>
  <si>
    <t>2-s2.0-85205290442</t>
  </si>
  <si>
    <t>Panteli E.; Santos P.; Humphrey N.</t>
  </si>
  <si>
    <t>Panteli, Eirini (59935190400); Santos, Paulo E. (8665449700); Humphrey, Nabil (57423439500)</t>
  </si>
  <si>
    <t>59935190400; 8665449700; 57423439500</t>
  </si>
  <si>
    <t>Signal Beneath the Surface: A Deep Learning Pipeline for Marine Acoustic Intelligence</t>
  </si>
  <si>
    <t>Lecture Notes in Computer Science</t>
  </si>
  <si>
    <t>16370 LNAI</t>
  </si>
  <si>
    <t>10.1007/978-981-95-4969-6_32</t>
  </si>
  <si>
    <t>https://www.scopus.com/pages/publications/105023486632?origin=resultslist</t>
  </si>
  <si>
    <t>2-s2.0-105023486632</t>
  </si>
  <si>
    <t>Wu Q.; Kang X.; Wang Z.; Duan P.; Li S.</t>
  </si>
  <si>
    <t>Wu, Qiong (58558620500); Kang, Xudong (47061561600); Wang, Zihao (57202792133); Duan, Puhong (57188576823); Li, Shutao (7409240361)</t>
  </si>
  <si>
    <t>58558620500; 47061561600; 57202792133; 57188576823; 7409240361</t>
  </si>
  <si>
    <t>UNSUPERVISED DETECTION OF RED TIDES IN SATELLITE IMAGERY BASED ON SPATIAL-SPECTRAL INFORMATION FUSION</t>
  </si>
  <si>
    <t xml:space="preserve">International Geoscience and Remote Sensing Symposium (IGARSS)  </t>
  </si>
  <si>
    <t>10.1109/IGARSS55030.2025.11242303</t>
  </si>
  <si>
    <t>https://www.scopus.com/pages/publications/105033901810?origin=resultslist</t>
  </si>
  <si>
    <t>2-s2.0-105033901810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</si>
</sst>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pages/publications/85205290442?origin=resultslist" TargetMode="External"/><Relationship Id="rId3" Type="http://schemas.openxmlformats.org/officeDocument/2006/relationships/hyperlink" Target="https://www.scopus.com/pages/publications/105022619038?origin=resultslist" TargetMode="External"/><Relationship Id="rId7" Type="http://schemas.openxmlformats.org/officeDocument/2006/relationships/hyperlink" Target="https://www.scopus.com/pages/publications/105027679577?origin=resultslist" TargetMode="External"/><Relationship Id="rId2" Type="http://schemas.openxmlformats.org/officeDocument/2006/relationships/hyperlink" Target="https://www.scopus.com/pages/publications/105045923122?origin=resultslist" TargetMode="External"/><Relationship Id="rId1" Type="http://schemas.openxmlformats.org/officeDocument/2006/relationships/hyperlink" Target="https://www.scopus.com/pages/publications/105014256139?origin=resultslist" TargetMode="External"/><Relationship Id="rId6" Type="http://schemas.openxmlformats.org/officeDocument/2006/relationships/hyperlink" Target="https://www.scopus.com/pages/publications/85123978976?origin=resultslis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copus.com/pages/publications/85215803420?origin=resultslist" TargetMode="External"/><Relationship Id="rId10" Type="http://schemas.openxmlformats.org/officeDocument/2006/relationships/hyperlink" Target="https://www.scopus.com/pages/publications/105033901810?origin=resultslist" TargetMode="External"/><Relationship Id="rId4" Type="http://schemas.openxmlformats.org/officeDocument/2006/relationships/hyperlink" Target="https://www.scopus.com/pages/publications/105010630984?origin=resultslist" TargetMode="External"/><Relationship Id="rId9" Type="http://schemas.openxmlformats.org/officeDocument/2006/relationships/hyperlink" Target="https://www.scopus.com/pages/publications/105023486632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"/>
  <sheetViews>
    <sheetView tabSelected="1" workbookViewId="0">
      <selection sqref="A1:D11"/>
    </sheetView>
  </sheetViews>
  <sheetFormatPr defaultColWidth="12.5703125" defaultRowHeight="15.75" customHeight="1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tr">
        <f ca="1">IFERROR(__xludf.DUMMYFUNCTION("LOWER(TRIM(REGEXREPLACE(B2, ""[[:punct:]]"", """")))"),"ioras florin 6507378119 bandara indrachapa 57201293296")</f>
        <v>ioras florin 6507378119 bandara indrachapa 57201293296</v>
      </c>
      <c r="F2" s="1">
        <v>2025</v>
      </c>
      <c r="G2" s="1" t="s">
        <v>24</v>
      </c>
      <c r="H2" s="1">
        <v>17</v>
      </c>
      <c r="I2" s="1">
        <v>16</v>
      </c>
      <c r="J2" s="1">
        <v>7404</v>
      </c>
      <c r="M2" s="1">
        <v>9</v>
      </c>
      <c r="N2" s="1" t="s">
        <v>25</v>
      </c>
      <c r="O2" s="2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</row>
    <row r="3" spans="1:20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tr">
        <f ca="1">IFERROR(__xludf.DUMMYFUNCTION("LOWER(TRIM(REGEXREPLACE(B3, ""[[:punct:]]"", """")))"),"menelaou angelos 55574755300 makrominas michalis 56502169000 plomaritou evi 26428921700 hein carola 7004099379")</f>
        <v>menelaou angelos 55574755300 makrominas michalis 56502169000 plomaritou evi 26428921700 hein carola 7004099379</v>
      </c>
      <c r="F3" s="1">
        <v>2026</v>
      </c>
      <c r="G3" s="1" t="s">
        <v>24</v>
      </c>
      <c r="H3" s="1">
        <v>18</v>
      </c>
      <c r="I3" s="1">
        <v>14</v>
      </c>
      <c r="J3" s="1">
        <v>7144</v>
      </c>
      <c r="M3" s="1">
        <v>0</v>
      </c>
      <c r="N3" s="1" t="s">
        <v>36</v>
      </c>
      <c r="O3" s="2" t="s">
        <v>37</v>
      </c>
      <c r="P3" s="1" t="s">
        <v>27</v>
      </c>
      <c r="Q3" s="1" t="s">
        <v>28</v>
      </c>
      <c r="R3" s="1" t="s">
        <v>38</v>
      </c>
      <c r="S3" s="1" t="s">
        <v>30</v>
      </c>
      <c r="T3" s="1" t="s">
        <v>39</v>
      </c>
    </row>
    <row r="4" spans="1:20" x14ac:dyDescent="0.2">
      <c r="A4" s="1" t="s">
        <v>40</v>
      </c>
      <c r="B4" s="1" t="s">
        <v>41</v>
      </c>
      <c r="C4" s="1" t="s">
        <v>42</v>
      </c>
      <c r="D4" s="1" t="s">
        <v>43</v>
      </c>
      <c r="E4" s="1" t="str">
        <f ca="1">IFERROR(__xludf.DUMMYFUNCTION("LOWER(TRIM(REGEXREPLACE(B4, ""[[:punct:]]"", """")))"),"kapoor chinmay 57222720483 singh bhan 60206087600 popli navneet kaur 57203917221 mamun mohammad 55536794000")</f>
        <v>kapoor chinmay 57222720483 singh bhan 60206087600 popli navneet kaur 57203917221 mamun mohammad 55536794000</v>
      </c>
      <c r="F4" s="1">
        <v>2026</v>
      </c>
      <c r="G4" s="1" t="s">
        <v>44</v>
      </c>
      <c r="H4" s="1">
        <v>19</v>
      </c>
      <c r="K4" s="1">
        <v>731</v>
      </c>
      <c r="L4" s="1">
        <v>744</v>
      </c>
      <c r="M4" s="1">
        <v>0</v>
      </c>
      <c r="N4" s="1" t="s">
        <v>45</v>
      </c>
      <c r="O4" s="2" t="s">
        <v>46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47</v>
      </c>
    </row>
    <row r="5" spans="1:20" x14ac:dyDescent="0.2">
      <c r="A5" s="1" t="s">
        <v>48</v>
      </c>
      <c r="B5" s="1" t="s">
        <v>49</v>
      </c>
      <c r="C5" s="1" t="s">
        <v>50</v>
      </c>
      <c r="D5" s="1" t="s">
        <v>51</v>
      </c>
      <c r="E5" s="1" t="str">
        <f ca="1">IFERROR(__xludf.DUMMYFUNCTION("LOWER(TRIM(REGEXREPLACE(B5, ""[[:punct:]]"", """")))"),"ding yu 59995403900 lin mu 57216282494")</f>
        <v>ding yu 59995403900 lin mu 57216282494</v>
      </c>
      <c r="F5" s="1">
        <v>2025</v>
      </c>
      <c r="G5" s="1" t="s">
        <v>52</v>
      </c>
      <c r="H5" s="1">
        <v>13682</v>
      </c>
      <c r="J5" s="1" t="s">
        <v>53</v>
      </c>
      <c r="M5" s="1">
        <v>0</v>
      </c>
      <c r="N5" s="1" t="s">
        <v>54</v>
      </c>
      <c r="O5" s="2" t="s">
        <v>55</v>
      </c>
      <c r="P5" s="1" t="s">
        <v>56</v>
      </c>
      <c r="Q5" s="1" t="s">
        <v>28</v>
      </c>
      <c r="S5" s="1" t="s">
        <v>30</v>
      </c>
      <c r="T5" s="1" t="s">
        <v>57</v>
      </c>
    </row>
    <row r="6" spans="1:20" x14ac:dyDescent="0.2">
      <c r="A6" s="1" t="s">
        <v>58</v>
      </c>
      <c r="B6" s="1" t="s">
        <v>59</v>
      </c>
      <c r="C6" s="1" t="s">
        <v>60</v>
      </c>
      <c r="D6" s="1" t="s">
        <v>61</v>
      </c>
      <c r="E6" s="1" t="str">
        <f ca="1">IFERROR(__xludf.DUMMYFUNCTION("LOWER(TRIM(REGEXREPLACE(B6, ""[[:punct:]]"", """")))"),"du libin 52963462000 liu mingyang 57219182845 lv zhichao 57190188809 tan chuanhe 59524584000 he junkai 59524691700 yu fei 57208664550")</f>
        <v>du libin 52963462000 liu mingyang 57219182845 lv zhichao 57190188809 tan chuanhe 59524584000 he junkai 59524691700 yu fei 57208664550</v>
      </c>
      <c r="F6" s="1">
        <v>2025</v>
      </c>
      <c r="G6" s="1" t="s">
        <v>62</v>
      </c>
      <c r="H6" s="1">
        <v>13</v>
      </c>
      <c r="I6" s="1">
        <v>1</v>
      </c>
      <c r="J6" s="1">
        <v>141</v>
      </c>
      <c r="M6" s="1">
        <v>4</v>
      </c>
      <c r="N6" s="1" t="s">
        <v>63</v>
      </c>
      <c r="O6" s="2" t="s">
        <v>64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65</v>
      </c>
    </row>
    <row r="7" spans="1:20" x14ac:dyDescent="0.2">
      <c r="A7" s="1" t="s">
        <v>66</v>
      </c>
      <c r="B7" s="1" t="s">
        <v>67</v>
      </c>
      <c r="C7" s="1" t="s">
        <v>68</v>
      </c>
      <c r="D7" s="1" t="s">
        <v>69</v>
      </c>
      <c r="E7" s="1" t="str">
        <f ca="1">IFERROR(__xludf.DUMMYFUNCTION("LOWER(TRIM(REGEXREPLACE(B7, ""[[:punct:]]"", """")))"),"jin shikuan 57204877833 ma yingying 55535058500 gong wei 15051249600 ye zhiwei 12773366800 xia xiaoyu 57457121900")</f>
        <v>jin shikuan 57204877833 ma yingying 55535058500 gong wei 15051249600 ye zhiwei 12773366800 xia xiaoyu 57457121900</v>
      </c>
      <c r="F7" s="1">
        <v>2022</v>
      </c>
      <c r="G7" s="1" t="s">
        <v>70</v>
      </c>
      <c r="H7" s="1">
        <v>26</v>
      </c>
      <c r="I7" s="1">
        <v>11</v>
      </c>
      <c r="K7" s="1">
        <v>2136</v>
      </c>
      <c r="L7" s="1">
        <v>2146</v>
      </c>
      <c r="M7" s="1">
        <v>3</v>
      </c>
      <c r="N7" s="1" t="s">
        <v>71</v>
      </c>
      <c r="O7" s="2" t="s">
        <v>72</v>
      </c>
      <c r="P7" s="1" t="s">
        <v>27</v>
      </c>
      <c r="Q7" s="1" t="s">
        <v>28</v>
      </c>
      <c r="R7" s="1" t="s">
        <v>73</v>
      </c>
      <c r="S7" s="1" t="s">
        <v>30</v>
      </c>
      <c r="T7" s="1" t="s">
        <v>74</v>
      </c>
    </row>
    <row r="8" spans="1:20" x14ac:dyDescent="0.2">
      <c r="A8" s="1" t="s">
        <v>75</v>
      </c>
      <c r="B8" s="1" t="s">
        <v>76</v>
      </c>
      <c r="C8" s="1" t="s">
        <v>77</v>
      </c>
      <c r="D8" s="1" t="s">
        <v>78</v>
      </c>
      <c r="E8" s="1" t="str">
        <f ca="1">IFERROR(__xludf.DUMMYFUNCTION("LOWER(TRIM(REGEXREPLACE(B8, ""[[:punct:]]"", """")))"),"minglong wang 60336594100 feng zhu 60335871800 hu jian 60336451700")</f>
        <v>minglong wang 60336594100 feng zhu 60335871800 hu jian 60336451700</v>
      </c>
      <c r="F8" s="1">
        <v>2026</v>
      </c>
      <c r="G8" s="1" t="s">
        <v>79</v>
      </c>
      <c r="H8" s="1">
        <v>13</v>
      </c>
      <c r="J8" s="1">
        <v>1689855</v>
      </c>
      <c r="M8" s="1">
        <v>4</v>
      </c>
      <c r="N8" s="1" t="s">
        <v>80</v>
      </c>
      <c r="O8" s="2" t="s">
        <v>81</v>
      </c>
      <c r="P8" s="1" t="s">
        <v>27</v>
      </c>
      <c r="Q8" s="1" t="s">
        <v>28</v>
      </c>
      <c r="R8" s="1" t="s">
        <v>29</v>
      </c>
      <c r="S8" s="1" t="s">
        <v>30</v>
      </c>
      <c r="T8" s="1" t="s">
        <v>82</v>
      </c>
    </row>
    <row r="9" spans="1:20" x14ac:dyDescent="0.2">
      <c r="A9" s="1" t="s">
        <v>83</v>
      </c>
      <c r="B9" s="1" t="s">
        <v>84</v>
      </c>
      <c r="C9" s="1" t="s">
        <v>85</v>
      </c>
      <c r="D9" s="1" t="s">
        <v>86</v>
      </c>
      <c r="E9" s="1" t="str">
        <f ca="1">IFERROR(__xludf.DUMMYFUNCTION("LOWER(TRIM(REGEXREPLACE(B9, ""[[:punct:]]"", """")))"),"keerthiga k 58107426400 jolin ashika j 59348342100 narmadha m 58106444200")</f>
        <v>keerthiga k 58107426400 jolin ashika j 59348342100 narmadha m 58106444200</v>
      </c>
      <c r="F9" s="1">
        <v>2024</v>
      </c>
      <c r="G9" s="1" t="s">
        <v>87</v>
      </c>
      <c r="M9" s="1">
        <v>3</v>
      </c>
      <c r="N9" s="1" t="s">
        <v>88</v>
      </c>
      <c r="O9" s="2" t="s">
        <v>89</v>
      </c>
      <c r="P9" s="1" t="s">
        <v>56</v>
      </c>
      <c r="Q9" s="1" t="s">
        <v>28</v>
      </c>
      <c r="S9" s="1" t="s">
        <v>30</v>
      </c>
      <c r="T9" s="1" t="s">
        <v>90</v>
      </c>
    </row>
    <row r="10" spans="1:20" x14ac:dyDescent="0.2">
      <c r="A10" s="1" t="s">
        <v>91</v>
      </c>
      <c r="B10" s="1" t="s">
        <v>92</v>
      </c>
      <c r="C10" s="1" t="s">
        <v>93</v>
      </c>
      <c r="D10" s="1" t="s">
        <v>94</v>
      </c>
      <c r="E10" s="1" t="str">
        <f ca="1">IFERROR(__xludf.DUMMYFUNCTION("LOWER(TRIM(REGEXREPLACE(B10, ""[[:punct:]]"", """")))"),"panteli eirini 59935190400 santos paulo e 8665449700 humphrey nabil 57423439500")</f>
        <v>panteli eirini 59935190400 santos paulo e 8665449700 humphrey nabil 57423439500</v>
      </c>
      <c r="F10" s="1">
        <v>2026</v>
      </c>
      <c r="G10" s="1" t="s">
        <v>95</v>
      </c>
      <c r="H10" s="1" t="s">
        <v>96</v>
      </c>
      <c r="K10" s="1">
        <v>417</v>
      </c>
      <c r="L10" s="1">
        <v>431</v>
      </c>
      <c r="M10" s="1">
        <v>0</v>
      </c>
      <c r="N10" s="1" t="s">
        <v>97</v>
      </c>
      <c r="O10" s="2" t="s">
        <v>98</v>
      </c>
      <c r="P10" s="1" t="s">
        <v>56</v>
      </c>
      <c r="Q10" s="1" t="s">
        <v>28</v>
      </c>
      <c r="S10" s="1" t="s">
        <v>30</v>
      </c>
      <c r="T10" s="1" t="s">
        <v>99</v>
      </c>
    </row>
    <row r="11" spans="1:20" x14ac:dyDescent="0.2">
      <c r="A11" s="1" t="s">
        <v>100</v>
      </c>
      <c r="B11" s="1" t="s">
        <v>101</v>
      </c>
      <c r="C11" s="1" t="s">
        <v>102</v>
      </c>
      <c r="D11" s="1" t="s">
        <v>103</v>
      </c>
      <c r="E11" s="1" t="str">
        <f ca="1">IFERROR(__xludf.DUMMYFUNCTION("LOWER(TRIM(REGEXREPLACE(B11, ""[[:punct:]]"", """")))"),"wu qiong 58558620500 kang xudong 47061561600 wang zihao 57202792133 duan puhong 57188576823 li shutao 7409240361")</f>
        <v>wu qiong 58558620500 kang xudong 47061561600 wang zihao 57202792133 duan puhong 57188576823 li shutao 7409240361</v>
      </c>
      <c r="F11" s="1">
        <v>2025</v>
      </c>
      <c r="G11" s="1" t="s">
        <v>104</v>
      </c>
      <c r="K11" s="1">
        <v>7014</v>
      </c>
      <c r="L11" s="1">
        <v>7018</v>
      </c>
      <c r="M11" s="1">
        <v>0</v>
      </c>
      <c r="N11" s="1" t="s">
        <v>105</v>
      </c>
      <c r="O11" s="2" t="s">
        <v>106</v>
      </c>
      <c r="P11" s="1" t="s">
        <v>56</v>
      </c>
      <c r="Q11" s="1" t="s">
        <v>28</v>
      </c>
      <c r="S11" s="1" t="s">
        <v>30</v>
      </c>
      <c r="T11" s="1" t="s">
        <v>107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export_3f23d4ee-252a-4c9a-9b8d-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oyetunji</cp:lastModifiedBy>
  <dcterms:modified xsi:type="dcterms:W3CDTF">2026-10-07T21:21:50Z</dcterms:modified>
</cp:coreProperties>
</file>