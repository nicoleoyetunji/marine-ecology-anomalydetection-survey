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ooglescholar_results_deduplica" sheetId="1" r:id="rId5"/>
  </sheets>
  <definedNames/>
  <calcPr/>
</workbook>
</file>

<file path=xl/sharedStrings.xml><?xml version="1.0" encoding="utf-8"?>
<sst xmlns="http://schemas.openxmlformats.org/spreadsheetml/2006/main" count="1634" uniqueCount="1306">
  <si>
    <t>Authors</t>
  </si>
  <si>
    <t>Title</t>
  </si>
  <si>
    <t>Clean Title</t>
  </si>
  <si>
    <t>Publication</t>
  </si>
  <si>
    <t>Volume</t>
  </si>
  <si>
    <t>Number</t>
  </si>
  <si>
    <t>Pages</t>
  </si>
  <si>
    <t>Year</t>
  </si>
  <si>
    <t>Publisher</t>
  </si>
  <si>
    <t>Title&amp;Abstract Screen</t>
  </si>
  <si>
    <t>Full text screen</t>
  </si>
  <si>
    <t>Google Scholar1</t>
  </si>
  <si>
    <t xml:space="preserve">Pu, Yuchun; Feng, Zhenghui; Wang, Zhonglei; Yang, Zhenyu; Li, Jianping; </t>
  </si>
  <si>
    <t>Anomaly detection for in situ marine plankton images</t>
  </si>
  <si>
    <t>2021 IEEE/CVF International Conference on Computer Vision Workshops (ICCVW)</t>
  </si>
  <si>
    <t>3654-3664</t>
  </si>
  <si>
    <t>IEEE</t>
  </si>
  <si>
    <t>Screen further</t>
  </si>
  <si>
    <t xml:space="preserve">Include </t>
  </si>
  <si>
    <t xml:space="preserve">Bilík, Šimon; </t>
  </si>
  <si>
    <t>Anomaly detection for the visual inspection of industrial and biological data</t>
  </si>
  <si>
    <t>Lappeenranta-Lahti University of Technology LUT</t>
  </si>
  <si>
    <t>Exclude, Industrial manufacturing, not marine</t>
  </si>
  <si>
    <t xml:space="preserve">Beyan, Cigdem; </t>
  </si>
  <si>
    <t>Detection of unusual fish trajectories from underwater videos</t>
  </si>
  <si>
    <t>University of Edinburgh</t>
  </si>
  <si>
    <t>Include</t>
  </si>
  <si>
    <t xml:space="preserve">Gao, Saiyu; Song, Miaomiao; Hu, Wei; Li, Wenqing; Zheng, Shanshan; Zhuo, Lei; Liu, Ru; Huang, Jiuzhang; Song, Haihui; Cheng, Kaiyu; </t>
  </si>
  <si>
    <t>Research on anomaly detection of offshore buoy water temperature data based on LSTM-DAE model</t>
  </si>
  <si>
    <t>2023 5th International Conference on Robotics, Intelligent Control and Artificial Intelligence (RICAI)</t>
  </si>
  <si>
    <t>858-863</t>
  </si>
  <si>
    <t>Exclude, Focus is on physical/hydrographic sensor data not biological or ecological data</t>
  </si>
  <si>
    <t xml:space="preserve">Salazar González, Fernando; </t>
  </si>
  <si>
    <t>A machine learning based methodology for anomaly detection in dam behaviour</t>
  </si>
  <si>
    <t>Universitat Politècnica de Catalunya</t>
  </si>
  <si>
    <t>Exclude, Dam structures, not marine ecology</t>
  </si>
  <si>
    <t xml:space="preserve">Zhao, Song; Lv, Yali; Zhao, Xiaobin; Wang, Jiayao; Li, Wei; Lv, Ming; </t>
  </si>
  <si>
    <t>Coastline target detection based on UAV hyperspectral remote sensing images</t>
  </si>
  <si>
    <t>Frontiers in Marine Science</t>
  </si>
  <si>
    <t>Frontiers Media SA</t>
  </si>
  <si>
    <t>Exclude, Focus is on physical target detection/geophysical mapping not biological or organismal anomalies</t>
  </si>
  <si>
    <t xml:space="preserve">Bornman, Eugin; Gennari, Enrico; Murray, Taryn; Hammerschlag, Niel; </t>
  </si>
  <si>
    <t>Smooth-hound shark Mustelus mustelus movements dictated by context: higher residency in South African Marine Protected Areas</t>
  </si>
  <si>
    <t>Fish, fishers and the future</t>
  </si>
  <si>
    <t>Exclude, no anomaly detection</t>
  </si>
  <si>
    <t xml:space="preserve">Aruna, SK; Deepa, N; Devi, T; </t>
  </si>
  <si>
    <t>Underwater fish identification in real-time using convolutional neural network</t>
  </si>
  <si>
    <t>2023 7th International Conference on Intelligent Computing and Control Systems (ICICCS)</t>
  </si>
  <si>
    <t>586-591</t>
  </si>
  <si>
    <t>Exclude, Anomaly detection mentioned generally, not this paper's method</t>
  </si>
  <si>
    <t xml:space="preserve">Kareinen, Joona; Skyttä, Annaliina; Eerola, Tuomas; Kraft, Kaisa; Lensu, Lasse; Suikkanen, Sanna; Lehtiniemi, Maiju; Kälviäinen, Heikki; </t>
  </si>
  <si>
    <t>Open-set plankton recognition</t>
  </si>
  <si>
    <t>European Conference on Computer Vision</t>
  </si>
  <si>
    <t>168-184</t>
  </si>
  <si>
    <t>Springer Nature Switzerland Cham</t>
  </si>
  <si>
    <t xml:space="preserve">Shutler, Jamie D; Davidson, Keith; Miller, Peter I; Swan, Sarah C; Grant, Michael G; Bresnan, Eileen; </t>
  </si>
  <si>
    <t>An adaptive approach to detect high-biomass algal blooms from EO chlorophyll-a data in support of harmful algal bloom monitoring</t>
  </si>
  <si>
    <t>Remote Sensing Letters</t>
  </si>
  <si>
    <t>101-110</t>
  </si>
  <si>
    <t>Taylor &amp; Francis</t>
  </si>
  <si>
    <t xml:space="preserve">Mishra, Spandan; Saiganesh, Pranaav; Ebenezer, Sam; Chaudhari, Labhesh; </t>
  </si>
  <si>
    <t>Novel Design of Helical Storage and Planting Mechanism for Coral Reef Restoration Using Opto-Acoustic and Image Processing Methods</t>
  </si>
  <si>
    <t>2024 12th RSI International Conference on Robotics and Mechatronics (ICRoM)</t>
  </si>
  <si>
    <t>095-100</t>
  </si>
  <si>
    <t xml:space="preserve">Walker, Joseph L; Orenstein, Eric C; </t>
  </si>
  <si>
    <t>Improving rare-class recognition of marine plankton with hard negative mining</t>
  </si>
  <si>
    <t>3665-3675</t>
  </si>
  <si>
    <t xml:space="preserve">Lanjun, Sun; Zhijian, Liu; Xiongfei, Meng; Yanchao, Zhang; Shuhan, Huang; Le, Li; Lin, Wang; </t>
  </si>
  <si>
    <t>Rapid identification of marine microplastics by laser-induced fluorescence technique based on PCA combined with SVM and KNN algorithm</t>
  </si>
  <si>
    <t>Environmental Research</t>
  </si>
  <si>
    <t>Elsevier</t>
  </si>
  <si>
    <t>Exclude, not anomaly detection</t>
  </si>
  <si>
    <t xml:space="preserve">Potapov, Nikolai; </t>
  </si>
  <si>
    <t>Applying Neural Networks to Predict Factors Affecting Harmful Algal Blooms for Timely Alerting and Implementing Preventive Measures in Ireland's Marine Ecosystem.</t>
  </si>
  <si>
    <t>Exclude, focus on forecasting not anomaly detection</t>
  </si>
  <si>
    <t xml:space="preserve">Wang, Jung-Hua; Hsu, Te-Hua; Lai, Yi-Chung; Peng, Yan-Tsung; Chen, Zhen-Yao; Lin, Ying-Ren; Huang, Chang-Wen; Chiang, Chung-Ping; </t>
  </si>
  <si>
    <t>Anomalous behavior recognition of underwater creatures using lite 3D full-convolution network</t>
  </si>
  <si>
    <t>Scientific Reports</t>
  </si>
  <si>
    <t>Nature Publishing Group UK London</t>
  </si>
  <si>
    <t xml:space="preserve">Jain, Sparsh; Verma, Sshubam; Balasubramanian, S; Subramaniam, M Sai; Sriram, T Sai; Sai, M Pranav Phanindra; Raj, Chandan; Yadav, Amandeep; </t>
  </si>
  <si>
    <t>DePondFi'23 Challenge Summary</t>
  </si>
  <si>
    <t>Computer Vision, Pattern Recognition, Image Processing, and Graphics: Proceedings of the 8th National Conference, NCVPRIPG 2023</t>
  </si>
  <si>
    <t>Springer Nature</t>
  </si>
  <si>
    <t xml:space="preserve">Mustapha, Umar Farouk; Alhassan, Abdul‐Wadud; Jiang, Dong‐Neng; Li, Guang‐Li; </t>
  </si>
  <si>
    <t>Sustainable aquaculture development: a review on the roles of cloud computing, internet of things and artificial intelligence (CIA)</t>
  </si>
  <si>
    <t>Reviews in Aquaculture</t>
  </si>
  <si>
    <t>2076-2091</t>
  </si>
  <si>
    <t>Wiley Online Library</t>
  </si>
  <si>
    <t>Exclude, Not specific anomaly detection study</t>
  </si>
  <si>
    <t xml:space="preserve">Veenstra, Timothy S; Churnside, James H; </t>
  </si>
  <si>
    <t>Airborne sensors for detecting large marine debris at sea</t>
  </si>
  <si>
    <t>Marine pollution bulletin</t>
  </si>
  <si>
    <t>63-68</t>
  </si>
  <si>
    <t>Exclude, Focus is on physical maritime pollution/debris mapping without biological or ecological context</t>
  </si>
  <si>
    <t xml:space="preserve">Beyan, Cigdem; Katsageorgiou, Vasiliki‐Maria; Fisher, Robert B; </t>
  </si>
  <si>
    <t>Extracting statistically significant behaviour from fish tracking data with and without large dataset cleaning</t>
  </si>
  <si>
    <t>IET Computer Vision</t>
  </si>
  <si>
    <t>162-170</t>
  </si>
  <si>
    <t>The Institution of Engineering and Technology</t>
  </si>
  <si>
    <t xml:space="preserve">Madhubhashini, ETS; </t>
  </si>
  <si>
    <t>Smart solutions for mitigating climate change impacts on coastal waters and resources in Sri Lanka</t>
  </si>
  <si>
    <t>YSF Thematic Publication</t>
  </si>
  <si>
    <t>Exclude, Broad climate/infrastructure solutions, not a specific anomaly detection study</t>
  </si>
  <si>
    <t xml:space="preserve">Alfano, Paolo Didier; Rando, Marco; Letizia, Marco; Odone, Francesca; Rosasco, Lorenzo; Pastore, Vito Paolo; </t>
  </si>
  <si>
    <t>Efficient unsupervised learning for plankton images</t>
  </si>
  <si>
    <t>2022 26th International Conference on Pattern Recognition (ICPR)</t>
  </si>
  <si>
    <t>1314-1321</t>
  </si>
  <si>
    <t>Exclude, focus on baseline classification not anomaly detection</t>
  </si>
  <si>
    <t xml:space="preserve">Mostowy, Jason William; </t>
  </si>
  <si>
    <t>Distribution of Demersal Fishes on Unconsolidated Bottom Habitat of the Northern Gulf of Mexico</t>
  </si>
  <si>
    <t>Exclude, Focus is on physical habitat characterisation and routine distribution mapping without anomaly detection</t>
  </si>
  <si>
    <t xml:space="preserve">Ward, Eric J; Oken, Kiva L; Rose, Kenneth A; Sable, Shaye; Watkins, Katherine; Holmes, Elizabeth E; Scheuerell, Mark D; </t>
  </si>
  <si>
    <t>Applying spatiotemporal models to monitoring data to quantify fish population responses to the Deepwater Horizon oil spill in the Gulf of Mexico</t>
  </si>
  <si>
    <t>Environmental monitoring and assessment</t>
  </si>
  <si>
    <t>Springer International Publishing Cham</t>
  </si>
  <si>
    <t xml:space="preserve">Choudhury, Biswaraj; Chakraborty, Kunal; Singha, U Poirainganba; Kuri, Debojyoti; Handique, Mousum; Sharma, Neha; </t>
  </si>
  <si>
    <t>Study of sea surface temperature prediction and oceanographic exploration using deep learning</t>
  </si>
  <si>
    <t>TENCON 2023-2023 IEEE Region 10 Conference (TENCON)</t>
  </si>
  <si>
    <t>495-500</t>
  </si>
  <si>
    <t>Exclude, focus is on physical hydrographic forecasting without biological or ecological context</t>
  </si>
  <si>
    <t xml:space="preserve">Szyrowski, Tomasz; Sharma, Sanjay K; Sutton, Robert; Kennedy, Gareth A; </t>
  </si>
  <si>
    <t>Developments in subsea power and telecommunication cables detection: Part 2-Electromagnetic detection.</t>
  </si>
  <si>
    <t>Underwater Technology</t>
  </si>
  <si>
    <t>Exclude, Infrastructure/cable detection, not ecological</t>
  </si>
  <si>
    <t xml:space="preserve">Kitts, Christopher; Quinn, Neil; Ota, Jeffrey; Stang, Pascal; Palmintier, Bryan; </t>
  </si>
  <si>
    <t>Development and teleoperation of robotic vehicles</t>
  </si>
  <si>
    <t>2nd AIAA" Unmanned Unlimited" Conf. and Workshop &amp; Exhibit</t>
  </si>
  <si>
    <t>Exclude, Robotics/vehicle anomaly detection, not ecological</t>
  </si>
  <si>
    <t xml:space="preserve">McCammon, Seth; Formel, Nathan; Jarriel, Sierra; Mooney, T Aran; </t>
  </si>
  <si>
    <t>Rapid detection of fish calls within diverse coral reef soundscapes using a convolutional neural network</t>
  </si>
  <si>
    <t>The Journal of the Acoustical Society of America</t>
  </si>
  <si>
    <t>1665-1683</t>
  </si>
  <si>
    <t>AIP Publishing</t>
  </si>
  <si>
    <t>Exclude, Focus is on baseline target object detection, not anomaly detection methods</t>
  </si>
  <si>
    <t xml:space="preserve">Thessen, Anne E; </t>
  </si>
  <si>
    <t>Adoption of machine learning techniques in ecology and earth science</t>
  </si>
  <si>
    <t>One Ecosystem</t>
  </si>
  <si>
    <t>e8621</t>
  </si>
  <si>
    <t>Pensoft Publishers</t>
  </si>
  <si>
    <t>Exclude, high level review paper, anomaly detection methods are not applied or evaluated.</t>
  </si>
  <si>
    <t xml:space="preserve">Jamal, Eng Muhammad RAA; Aldhafeeri, Eng Abdulaziz SAN; Alqattan, Humoud; </t>
  </si>
  <si>
    <t>Preventing Jellyfish Attacks on Electrical Power Plants in Kuwait: An Innovative Solution</t>
  </si>
  <si>
    <t>Exclude, General ML in ecology review, not marine specific anomaly detection</t>
  </si>
  <si>
    <t xml:space="preserve">Zurowietz, Martin; Langenkämper, Daniel; Hosking, Brett; Ruhl, Henry A; Nattkemper, Tim W; </t>
  </si>
  <si>
    <t>MAIA—A machine learning assisted image annotation method for environmental monitoring and exploration</t>
  </si>
  <si>
    <t>PloS one</t>
  </si>
  <si>
    <t>e0207498</t>
  </si>
  <si>
    <t>Public Library of Science San Francisco, CA USA</t>
  </si>
  <si>
    <t>Exclude, Focus is on software assisted data labelling/annotation frameworks, not applied ecological anomaly detection.</t>
  </si>
  <si>
    <t xml:space="preserve">Hammond, Matthew Lee; Jebri, Fatma; Srokosz, Meric; Popova, Ekaterina; </t>
  </si>
  <si>
    <t>Automated detection of coastal upwelling in the Western Indian Ocean: Towards an operational “Upwelling Watch” system</t>
  </si>
  <si>
    <t xml:space="preserve">Heumann, Alexandre; Margirier, Félix; Rinnert, Emmanuel; Lherminier, Pascale; Scalabrin, Carla; Géli, Louis; Pasqueron de Fommervault, Orens; Béguery, Laurent; </t>
  </si>
  <si>
    <t>A 30-month data set of glider physico-chemical data off Mayotte Island near the Fani Maoré volcano</t>
  </si>
  <si>
    <t>Earth System Science Data</t>
  </si>
  <si>
    <t>4535-4554</t>
  </si>
  <si>
    <t>Copernicus Publications Göttingen, Germany</t>
  </si>
  <si>
    <t>Exclude, Geophysical/volcanic monitoring, not ecological</t>
  </si>
  <si>
    <t xml:space="preserve">Salvesen, Eivind; Saad, Aya; Stahl, Annette; </t>
  </si>
  <si>
    <t>Robust methods of unsupervised clustering to discover new planktonic species in-situ</t>
  </si>
  <si>
    <t>Global Oceans 2020: Singapore–US Gulf Coast</t>
  </si>
  <si>
    <t>Exclude, full text not accessible</t>
  </si>
  <si>
    <t xml:space="preserve">Ladds, Monique A; Sibanda, Nokuthaba; Arnold, Richard; Dunn, Matthew R; </t>
  </si>
  <si>
    <t>Creating functional groups of marine fish from categorical traits</t>
  </si>
  <si>
    <t>PeerJ</t>
  </si>
  <si>
    <t>e5795</t>
  </si>
  <si>
    <t>PeerJ Inc.</t>
  </si>
  <si>
    <t>Exclude, Trait based classification, not anomaly detection</t>
  </si>
  <si>
    <t xml:space="preserve">Stock, Andy; Subramaniam, Ajit; </t>
  </si>
  <si>
    <t>Iterative spatial leave-one-out cross-validation and gap-filling based data augmentation for supervised learning applications in marine remote sensing</t>
  </si>
  <si>
    <t>GIScience &amp; Remote Sensing</t>
  </si>
  <si>
    <t>1281-1300</t>
  </si>
  <si>
    <t>Exclude, Data augmentation methodology, no anomaly detection apparent</t>
  </si>
  <si>
    <t xml:space="preserve">Kutser, Tiit; </t>
  </si>
  <si>
    <t>Passive optical remote sensing of cyanobacteria and other intense phytoplankton blooms in coastal and inland waters</t>
  </si>
  <si>
    <t>International Journal of Remote Sensing</t>
  </si>
  <si>
    <t>4401-4425</t>
  </si>
  <si>
    <t>Exclude High level review paper, anomaly detection methods are not applied or evaluated</t>
  </si>
  <si>
    <t xml:space="preserve">Shah, Chiranjibi; Nabi, MM; Alaba, Simegnew Yihunie; Ebu, Iffat Ara; Prior, Jack; Campbell, Matthew D; Caillouet, Ryan; Grossi, Matthew D; Rowell, Timothy; Wallace, Farron; </t>
  </si>
  <si>
    <t>Yolov8-tf: Transformer-enhanced yolov8 for underwater fish species recognition with class imbalance handling</t>
  </si>
  <si>
    <t>Sensors</t>
  </si>
  <si>
    <t>MDPI</t>
  </si>
  <si>
    <t>Exclude, species classification, not anomaly detection</t>
  </si>
  <si>
    <t xml:space="preserve">Summers, Natalie; Johnsen, Geir; Mogstad, Aksel; Løvås, Håvard; Fragoso, Glaucia; Berge, Jørgen; </t>
  </si>
  <si>
    <t>Underwater hyperspectral imaging of Arctic macroalgal habitats during the polar night using a novel mini-ROV-UHI portable system</t>
  </si>
  <si>
    <t>Remote sensing</t>
  </si>
  <si>
    <t>Exclude, Habitat mapping/imaging system, no anomaly detection apparent</t>
  </si>
  <si>
    <t xml:space="preserve">Chen, Jianqu; Li, Xunmeng; Wang, Kai; Zhang, Shouyu; Li, Jun; Sun, Mingbo; </t>
  </si>
  <si>
    <t>Assessment of intertidal seaweed biomass based on RGB imagery</t>
  </si>
  <si>
    <t>Plos one</t>
  </si>
  <si>
    <t>e0263416</t>
  </si>
  <si>
    <t>Exclude, Biomass estimation, no anomaly detection</t>
  </si>
  <si>
    <t xml:space="preserve">Breebaart, Amy; Nijland, Wiebe; Addink, Elisabeth; </t>
  </si>
  <si>
    <t>Modelling the seasonal distribution of macrozoobenthos in intertidal areas of the Dtuch Wadden Sea using novel rmeote sensing and deep learning methods</t>
  </si>
  <si>
    <t>Utrecht University</t>
  </si>
  <si>
    <t>Exclude, Focus is on baseline abundance/biomass regression modeling, not anomaly detection</t>
  </si>
  <si>
    <t xml:space="preserve">Plonus, Rene-Marcel; </t>
  </si>
  <si>
    <t>Multi-dimensional characterization of pelagic habitats and the potential to detect ecological niches in a highly dynamic ecosystem</t>
  </si>
  <si>
    <t>Universitaet Hamburg (Germany)</t>
  </si>
  <si>
    <t>Exclude, Habitat/niche detection via image analysis, AE used for dimension reduction not anomaly detection method</t>
  </si>
  <si>
    <t xml:space="preserve">Wang, Yazhou; Chen, Yimin; Gao, Jian; Yu, Yang; Wang, Jiarun; </t>
  </si>
  <si>
    <t>A fault diagnosis method for AUVs based on meta-self-attentive variable-scale CNN</t>
  </si>
  <si>
    <t>International conference on autonomous unmanned systems</t>
  </si>
  <si>
    <t>293-303</t>
  </si>
  <si>
    <t>Springer Nature Singapore Singapore</t>
  </si>
  <si>
    <t>Exclude, Focus is on physical maritime operations and hardware fault diagnosis without ecological context</t>
  </si>
  <si>
    <t xml:space="preserve">Hu, Wenjie; Yang, Xuewen; Wang, Nan; Zhang, Xing; Cui, Yanni; Yu, Jia; Zheng, Haiyong; Zheng, Bing; </t>
  </si>
  <si>
    <t>Multi-object reconstruction of plankton digital holograms</t>
  </si>
  <si>
    <t>Multimedia Tools and Applications</t>
  </si>
  <si>
    <t>51321-51335</t>
  </si>
  <si>
    <t>Springer</t>
  </si>
  <si>
    <t>Exclude, Focus is on baseline target object extraction and image restoration, not anomaly detection</t>
  </si>
  <si>
    <t xml:space="preserve">Roe, Sebastian; Price, Amina; Rees, Matt; Tout-Lyon, Jessica; </t>
  </si>
  <si>
    <t>Baiting and citizen science: A comparative study of BRUVs and eDNA surveys throughout estuaries in New South Wales.</t>
  </si>
  <si>
    <t>11th Indo-Pacific Fish Conference and Annual Conference of the Australian Society for Fish Biology</t>
  </si>
  <si>
    <t>Exclude, Fish assemblage monitoring methods comparison, no anomaly detection</t>
  </si>
  <si>
    <t xml:space="preserve">Marrone, Alessio; Mangano, Maria Cristina; Deidun, Alan; Berlino, Manuel; Sarà, Gianluca; </t>
  </si>
  <si>
    <t>Effects of habitat fragmentation of a Mediterranean marine reef on the associated fish community: Insights from biological traits analysis</t>
  </si>
  <si>
    <t>Journal of Marine Science and Engineering</t>
  </si>
  <si>
    <t>Exclude, Biological traits analysis, no anomaly detection</t>
  </si>
  <si>
    <t xml:space="preserve">Pertain, Bethany; </t>
  </si>
  <si>
    <t>BENTHIC HABITAT MAPPING OF MOUNTAIN TOP BANK WITHIN THE NORTHERN GULF OF MEXICO THROUGH INTEGRATED GEOPHYSICAL AND VISUAL DATA ANALYSIS</t>
  </si>
  <si>
    <t>Exclude, Geophysical/habitat mapping survey, no anomaly detection apparent</t>
  </si>
  <si>
    <t xml:space="preserve">Grekov, AN; Grekov, NA; Kuzmin, KA; Peliushenko, SS; </t>
  </si>
  <si>
    <t>Increasing the selectivity of the early notification biosensor system under influence of acoustic vibration</t>
  </si>
  <si>
    <t>arXiv preprint arXiv:2312.06263</t>
  </si>
  <si>
    <t>Exclude</t>
  </si>
  <si>
    <t xml:space="preserve">Gracia Moisés, Ander; Vitoria Pascual, Ignacio; Imas González, José Javier; Ruiz Zamarreño, Carlos; </t>
  </si>
  <si>
    <t>Data augmentation techniques for machine learning applied to optical spectroscopy datasets in agrifood applications: A comprehensive review</t>
  </si>
  <si>
    <t>Exclude, Agrifood spectroscopy review, not marine</t>
  </si>
  <si>
    <t xml:space="preserve">San Soucie, John Edward; </t>
  </si>
  <si>
    <t>Inference and Robotic Path Planning over High Dimensional Categorical Observations</t>
  </si>
  <si>
    <t>Massachusetts Institute of Technology</t>
  </si>
  <si>
    <t>Exclude, not ecological anomaly detection</t>
  </si>
  <si>
    <t xml:space="preserve">Zhao, Zhenxi; Yang, Xinting; Liu, Jintao; Zhou, Chao; Zhao, Chunjiang; </t>
  </si>
  <si>
    <t>GCVC: Graph convolution vector distribution calibration for fish group activity recognition</t>
  </si>
  <si>
    <t>IEEE Transactions on Multimedia</t>
  </si>
  <si>
    <t>1776-1789</t>
  </si>
  <si>
    <t xml:space="preserve">Scannell, Hillary A; </t>
  </si>
  <si>
    <t>Seas in Hot Water: Marine Heatwaves on the Move; Following the Heat</t>
  </si>
  <si>
    <t>University of Washington</t>
  </si>
  <si>
    <t xml:space="preserve">Zhang, Mengmeng; Zhao, Yuyang; Chen, Rongjie; Gao, Yunhao; Li, Zhengmao; Li, Wei; </t>
  </si>
  <si>
    <t>Remote sensing collaborative classification using multimodal adaptive modulation network</t>
  </si>
  <si>
    <t>IEEE Transactions on Geoscience and Remote Sensing</t>
  </si>
  <si>
    <t>Exclude, General hyperspectral anomaly detection, no marine ecology focus</t>
  </si>
  <si>
    <t xml:space="preserve">Gao, Yunhao; Song, Xiukai; Li, Wei; Wang, Jianbu; He, Jianlong; Jiang, Xiangyang; Feng, Yinyin; </t>
  </si>
  <si>
    <t>Fusion classification of HSI and MSI using a spatial-spectral vision transformer for wetland biodiversity estimation</t>
  </si>
  <si>
    <t>Remote Sensing</t>
  </si>
  <si>
    <t>Exclude, Wetland/terrestrial remote sensing, not marine</t>
  </si>
  <si>
    <t xml:space="preserve">Uusitalo, Laura; </t>
  </si>
  <si>
    <t>Bayesian network modelling of complex systems with sparse data: Ecological case studies</t>
  </si>
  <si>
    <t>Helsingin yliopisto</t>
  </si>
  <si>
    <t>Exclude, General environmental assessment methodology, no anomaly detection</t>
  </si>
  <si>
    <t xml:space="preserve">Zaheer, Ruba; Ahmad, Iftekhar; Habibi, Daryoush; Islam, Kazi Yasin; Phung, Quoc Viet; </t>
  </si>
  <si>
    <t>A survey on artificial intelligence-based acoustic source identification</t>
  </si>
  <si>
    <t>IEEE Access</t>
  </si>
  <si>
    <t>60078-60108</t>
  </si>
  <si>
    <t>Exclude, High level review paper, anomaly detection methods are not applied or evaluated</t>
  </si>
  <si>
    <t xml:space="preserve">Morgan, Eric J; Lavric, Jost V; Arévalo-Martínez, Damian L; Bange, Hermann W; Steinhoff, Tobias; Seifert, Thomas; Heimann, Martin; </t>
  </si>
  <si>
    <t>Air–sea fluxes of greenhouse gases and oxygen in the northern Benguela Current region during upwelling events</t>
  </si>
  <si>
    <t>Biogeosciences</t>
  </si>
  <si>
    <t>4065-4084</t>
  </si>
  <si>
    <t>Exclude, Focus is on gas flux quantification/biogeochemistry without anomaly detection</t>
  </si>
  <si>
    <t xml:space="preserve">Wu, Jiangyan; Zhang, Guanghui; Fan, Yugang; </t>
  </si>
  <si>
    <t>LM-CycleGAN: improving underwater image quality through learned perceptual image patch similarity and multi-scale adaptive fusion attention</t>
  </si>
  <si>
    <t>Exclude, Image enhancement, no anomaly detection</t>
  </si>
  <si>
    <t xml:space="preserve">Blaisdell, Josiah; </t>
  </si>
  <si>
    <t>Evaluating the Effects of Multiple Environmental Stressors on the Gulf of Alaska Pacific Cod Fishery Using a Dynamic Stress-Scape Framework</t>
  </si>
  <si>
    <t xml:space="preserve">Exclude, Stress-scape framework, no anomaly detection </t>
  </si>
  <si>
    <t xml:space="preserve">Roy, Amédée; </t>
  </si>
  <si>
    <t>Caractérisation et simulation multi-échelle des mouvements d'oiseaux marins tropicaux: une approche par apprentissage profond</t>
  </si>
  <si>
    <t>Université de Montpellier</t>
  </si>
  <si>
    <t>Exclude, not in English</t>
  </si>
  <si>
    <t xml:space="preserve">Mackenzie, Kierin; Pirker, John; </t>
  </si>
  <si>
    <t>Towards a spatiotemporal data model for traditional ecological knowledge/Indigenous knowledge</t>
  </si>
  <si>
    <t>Cartographica: The International Journal for Geographic Information and Geovisualization</t>
  </si>
  <si>
    <t>29-41</t>
  </si>
  <si>
    <t>University of Toronto Press</t>
  </si>
  <si>
    <t>Exclude, GIS/Indigenous knowledge modelling, not marine anomaly detection</t>
  </si>
  <si>
    <t xml:space="preserve">Kareinen, Joona; Eerola, Tuomas; Kraft, Kaisa; Lensu, Lasse; Suikkanen, Sanna; Kälviäinen, Heikki; </t>
  </si>
  <si>
    <t>Self-supervised pretraining for fine-grained plankton recognition</t>
  </si>
  <si>
    <t>2025 IEEE/CVF Conference on Computer Vision and Pattern Recognition Workshops (CVPRW)</t>
  </si>
  <si>
    <t>2122-2132</t>
  </si>
  <si>
    <t>Exclude, Focus is on baseline multiclass taxonomic representation learning, not anomaly detection</t>
  </si>
  <si>
    <t xml:space="preserve">MacNeil, Liam; </t>
  </si>
  <si>
    <t>COMBINING HIGH-THROUGHPUT IMAGING AND AMPLICON SEQUENCING TO MONITOR EUKARYOTIC PLANKTON</t>
  </si>
  <si>
    <t>Exclude, Focus is on baseline biodiversity abundance monitoring and method correlation without anomaly detection</t>
  </si>
  <si>
    <t xml:space="preserve">Osycka, Líam; Buccella, Agustina; Cechich, Alejandra; </t>
  </si>
  <si>
    <t>Data variety modeling: A case of contextual diversity identification from a bottom-up perspective</t>
  </si>
  <si>
    <t>Argentine Congress of Computer Science</t>
  </si>
  <si>
    <t>124-138</t>
  </si>
  <si>
    <t>Exclude, Data modelling methodology paper, not ecological</t>
  </si>
  <si>
    <t xml:space="preserve">Ingle, Sumit Dilip; </t>
  </si>
  <si>
    <t>Monitoring and modeling approaches for evaluating managed aquifer recharge (MAR) performance.</t>
  </si>
  <si>
    <t>Exclude, Groundwater recharge, not marine</t>
  </si>
  <si>
    <t xml:space="preserve">Cechich, Alejandra; Buccella, Agustina; Villegas, Carolina; Montenegro, Ayelén; Muñoz, Angel; Rodríguez, Andrea; </t>
  </si>
  <si>
    <t>A model of reusable assets in AIE software systems</t>
  </si>
  <si>
    <t>Journal of Computer Science &amp; Technology</t>
  </si>
  <si>
    <t>Exclude, not marine ecology</t>
  </si>
  <si>
    <t xml:space="preserve">Laney, Christine Marie; </t>
  </si>
  <si>
    <t>Toward new data and information management solutions for data-intensive ecological research</t>
  </si>
  <si>
    <t>The University of Texas at El Paso</t>
  </si>
  <si>
    <t>Exclude, general data management frameworks, not applying anomaly detection</t>
  </si>
  <si>
    <t xml:space="preserve">Jahan, Faria; </t>
  </si>
  <si>
    <t>Carbon sequestration in coastal ecosystems: A review of modeling techniques and applications</t>
  </si>
  <si>
    <t>Available at SSRN 5139795</t>
  </si>
  <si>
    <t>Exclude, Carbon modelling review, no anomaly detection</t>
  </si>
  <si>
    <t xml:space="preserve">Montes, Juan; Del Río, Laura; Plomaritis, Theocharis A; Benavente, Javier; Puig, Maria; Simarro, Gonzalo; </t>
  </si>
  <si>
    <t>Video-monitoring tools for assessing beach morphodynamics in tidal beaches</t>
  </si>
  <si>
    <t>Exclude, Physical beach/coastal geomorphology, not ecological</t>
  </si>
  <si>
    <t xml:space="preserve">Tout-Lyon, Jessica; Ajani, Penelope; Baumgartner, Lee; Duncan, Meaghan; Furlan, Elise; Humphries, Paul; Jeffries, Peta; Knott, Nathan; Leck, Jessica; Lungu, Ryan; </t>
  </si>
  <si>
    <t>Using eDNA to assess how estuarine fish communities respond to consecutive extreme events of drought, bushfire, and flood</t>
  </si>
  <si>
    <t>Exclude, Focus is on physical beach/coastal geomorphology without ecological context</t>
  </si>
  <si>
    <t xml:space="preserve">Setioko, Wita; Saputra, Suradi W; Wijayanto, Dian; Sabdaningsih, Aninditia; </t>
  </si>
  <si>
    <t>Market dynamics of blue swimming crab exports to the United States of America: A comparative analysis with red and Venezuelan crab price trend (2018-2022)</t>
  </si>
  <si>
    <t>Aquaculture, Aquarium, Conservation &amp; Legislation</t>
  </si>
  <si>
    <t>2934-2942</t>
  </si>
  <si>
    <t>Bioflux SRL</t>
  </si>
  <si>
    <t>Exclude, Trade/economics, no anomaly detection</t>
  </si>
  <si>
    <t xml:space="preserve">Mohammed, Maadh Rajaa; Sagheer, Ali Makki; </t>
  </si>
  <si>
    <t>Employing a convolutional neural network to classify sleep stages from EEG signals using feature reduction techniques</t>
  </si>
  <si>
    <t>Algorithms</t>
  </si>
  <si>
    <t>Exclude, Focus is on baseline impact assessment, anomaly detection methods are not applied or evaluated</t>
  </si>
  <si>
    <t xml:space="preserve">Liu, Haodong; Wu, Qian; </t>
  </si>
  <si>
    <t>Evolutionary game analysis on technological innovation strategies of marine ranching enterprises considering government’s incentive policies and consumer preferences</t>
  </si>
  <si>
    <t>Exclude, Economic/policy game theory, not anomaly detection</t>
  </si>
  <si>
    <t xml:space="preserve">Bygate, Meghan; </t>
  </si>
  <si>
    <t>Mapping oyster habitat quality in Matagorda Bay through remote sensing-derived water quality datasets</t>
  </si>
  <si>
    <t>Texas A&amp;M University-Corpus Christi</t>
  </si>
  <si>
    <t>Exclude, Water quality/habitat mapping, no anomaly detection apparent</t>
  </si>
  <si>
    <t xml:space="preserve">Huang, Shuan-Yu; Mukundan, Arvind; Tsao, Yu-Ming; Kim, Youngjo; Lin, Fen-Chi; Wang, Hsiang-Chen; </t>
  </si>
  <si>
    <t>Recent advances in counterfeit art, document, photo, hologram, and currency detection using hyperspectral imaging</t>
  </si>
  <si>
    <t>Exclude, Forgery detection, not marine</t>
  </si>
  <si>
    <t xml:space="preserve">Hager, Lori; Partee, Robert; </t>
  </si>
  <si>
    <t>Data Stewardship Maturity Report for Water Column Sonar Data</t>
  </si>
  <si>
    <t>Exclude, Data management maturity report, no anomaly detection method</t>
  </si>
  <si>
    <t xml:space="preserve">Malthus, Timothy J; Nelli, Filippo; Taheriashtiani, Negar; Vanrolleghem, Peter A; Crosbie, Nicolas D; Zamyadi, Arash; </t>
  </si>
  <si>
    <t>Empowering water utilities: Crafting an end-user-friendly reliability ranking for evaluating satellite remote sensing advances through literature insights</t>
  </si>
  <si>
    <t>Water Quality Research Journal</t>
  </si>
  <si>
    <t>38-59</t>
  </si>
  <si>
    <t>IWA Publishing</t>
  </si>
  <si>
    <t>Exclude, Water utility management, no anomaly detection apparent</t>
  </si>
  <si>
    <t xml:space="preserve">Ekstrøm, Claus Thorn; Sørensen, Helle; </t>
  </si>
  <si>
    <t>Short Book Reviews</t>
  </si>
  <si>
    <t>International Statistical Review</t>
  </si>
  <si>
    <t>176-204</t>
  </si>
  <si>
    <t>Exclude, General statistics textbook review, not marine</t>
  </si>
  <si>
    <t xml:space="preserve">Shmuel, Assaf; Heifetz, Eyal; </t>
  </si>
  <si>
    <t>Re-examining the assumption of dominant regional wind and fire spread directions</t>
  </si>
  <si>
    <t>International journal of wildland fire</t>
  </si>
  <si>
    <t>480-491</t>
  </si>
  <si>
    <t>CSIRO Publishing</t>
  </si>
  <si>
    <t>Exclude, Wildfire modelling, not marine</t>
  </si>
  <si>
    <t xml:space="preserve">Khan, Asad Ullah; </t>
  </si>
  <si>
    <t>Metagenomic analysis of spring and stream waters in the Chesapeake and Ohio Canal National Historical Park</t>
  </si>
  <si>
    <t>Temple University</t>
  </si>
  <si>
    <t>Exclude, freshwater biome</t>
  </si>
  <si>
    <t xml:space="preserve">Abdullajintakam, Sajjad; </t>
  </si>
  <si>
    <t>Impact of subsurface methane transport on shallow marine sediment geochemistry</t>
  </si>
  <si>
    <t>Exclude, Geochemistry process study, no anomaly detection</t>
  </si>
  <si>
    <t xml:space="preserve">Sulaiman, Sazan Kamal; Jghef, Yousif Sufyan; Abdullah, Abdulqadir Ismail; Ahmed, Saadaldeen Rashid; </t>
  </si>
  <si>
    <t>Statistical data mining methods in predicting happiness and habits</t>
  </si>
  <si>
    <t>ITM Web of Conferences</t>
  </si>
  <si>
    <t>EDP Sciences</t>
  </si>
  <si>
    <t>Exclude, human behaviour not marine ecology</t>
  </si>
  <si>
    <t xml:space="preserve">Smith, Jaclyn; </t>
  </si>
  <si>
    <t>Dynamics of Phytoplankton Populations in Irrigation Ponds</t>
  </si>
  <si>
    <t>University of Maryland, College Park</t>
  </si>
  <si>
    <t>Exclude, freshwater pods not marine</t>
  </si>
  <si>
    <t xml:space="preserve">Guanter, Luis; Kaufmann, Hermann; Förster, Saskia; Brosinsky, Arlena; Wulf, Hendrik; Bochow, M; Boesche, Nina; Brell, Maximilian; Buddenbaum, Henning; Chabrillat, Sabine; </t>
  </si>
  <si>
    <t>ENMAP science plan</t>
  </si>
  <si>
    <t>GFZ Data Services</t>
  </si>
  <si>
    <t>Exclude,  no anomaly detection methods</t>
  </si>
  <si>
    <t xml:space="preserve">Jamieson, Stewart; How, Jonathan P; Girdhar, Yogesh; </t>
  </si>
  <si>
    <t>Active reward learning for co-robotic vision based exploration in bandwidth limited environments</t>
  </si>
  <si>
    <t>2020 IEEE International Conference on Robotics and Automation (ICRA)</t>
  </si>
  <si>
    <t>1806-1812</t>
  </si>
  <si>
    <t>Exclude, Robotics exploration, anomaly detection only in citation list</t>
  </si>
  <si>
    <t xml:space="preserve">Namadi, Peyman; He, Minxue; Sandhu, Prabhjot; </t>
  </si>
  <si>
    <t>Modeling ion constituents in the Sacramento-San Joaquin Delta using multiple machine learning approaches</t>
  </si>
  <si>
    <t>Journal of Hydroinformatics</t>
  </si>
  <si>
    <t>2541-2560</t>
  </si>
  <si>
    <t>Exclude, Estuarine salinity modelling, no anomaly detection</t>
  </si>
  <si>
    <t xml:space="preserve">Ali, Yousaf; Shah, Syed Waqar; Arif, Arsalan; Tlija, Mehdi; Siddiqi, Mudasir Raza; </t>
  </si>
  <si>
    <t>Intelligent framework design for quality control in industry 4.0</t>
  </si>
  <si>
    <t>Applied Sciences</t>
  </si>
  <si>
    <t>Excluded, Focus is on industrial manufacturing quality control, completely outside of marine ecology</t>
  </si>
  <si>
    <t xml:space="preserve">Ausfeld, Kyle T; </t>
  </si>
  <si>
    <t>Tracking of various targets in the infrared and issues encountered</t>
  </si>
  <si>
    <t>Rochester Institute of Technology</t>
  </si>
  <si>
    <t>Exclude, General infrared tracking, anomaly detection mentioned generically</t>
  </si>
  <si>
    <t xml:space="preserve">Ngoma, Amani Tsongo; Sabbani, Goutham; Weller, Frank; Katie, Biancha; Magena, Charlene; </t>
  </si>
  <si>
    <t>Digital Enterprise Transformation</t>
  </si>
  <si>
    <t>Cari Journals USA LLC</t>
  </si>
  <si>
    <t>Exclude, business book not marine ecology</t>
  </si>
  <si>
    <t xml:space="preserve">Zhao, Xiaolan; Xu, Haoli; Ding, Zhibin; Wang, Daqing; Deng, Zhengdong; Wang, Yi; Wu, Tingfong; Li, Wei; Lu, Zhao; Wang, Guangyuan; </t>
  </si>
  <si>
    <t>Comparing deep learning with several typical methods in prediction of assessing chlorophyll-a by remote sensing: A case study in Taihu Lake, China</t>
  </si>
  <si>
    <t>Water Supply</t>
  </si>
  <si>
    <t>3710-3724</t>
  </si>
  <si>
    <t>Exclude, freshwater not marine</t>
  </si>
  <si>
    <t xml:space="preserve">Etemad, Mohammad; </t>
  </si>
  <si>
    <t>Transportation modes classification using feature engineering</t>
  </si>
  <si>
    <t>arXiv preprint arXiv:1807.10876</t>
  </si>
  <si>
    <t>Exclude, GPS trajectory mining for transport, not marine</t>
  </si>
  <si>
    <t xml:space="preserve">Luo, Yongcong; </t>
  </si>
  <si>
    <t>Research on the Sentiment Analysis and Evolutionary Mechanism of Sudden Network Public Opinion Based on SNA-ARIMA Model with Text Mining</t>
  </si>
  <si>
    <t>Journal of Electrical Systems</t>
  </si>
  <si>
    <t>1961-1972</t>
  </si>
  <si>
    <t>Exclude, Social media sentiment analysis, not marine</t>
  </si>
  <si>
    <t xml:space="preserve">Zhao, Yanan; </t>
  </si>
  <si>
    <t>From coastal waters to the open ocean: Dimethylated sulfur compounds in the SW Baltic Sea, the SE Pacific Ocean, and the SW Indian Ocean</t>
  </si>
  <si>
    <t>Christian-Albrechts-Universität zu Kiel</t>
  </si>
  <si>
    <t>Exclude, biogeochemical &amp; environmental study not marine</t>
  </si>
  <si>
    <t xml:space="preserve">Osycka, Líam; Cechich, Alejandra; Buccella, Agustina; Montenegro, Ayelén; Muñoz, Angel; </t>
  </si>
  <si>
    <t>Covamat: Functionality for variety reuse through a supporting tool</t>
  </si>
  <si>
    <t>Conference on Cloud Computing, Big Data &amp; Emerging Topics</t>
  </si>
  <si>
    <t>57-74</t>
  </si>
  <si>
    <t>Exclude, Software/data systems engineering, not marine</t>
  </si>
  <si>
    <t xml:space="preserve">Sun, Jie; Yang, Jing; Chen, Wang; Ding, Sujie; Li, Shaobo; Hu, Jianjun; </t>
  </si>
  <si>
    <t>LCTCS: Low-Cost and Two-Channel Sparse Network for Hyperspectral Image Classification: J. Sun et al.</t>
  </si>
  <si>
    <t>Neural Processing Letters</t>
  </si>
  <si>
    <t>Springer US New York</t>
  </si>
  <si>
    <t>Exclude, general HSI classification</t>
  </si>
  <si>
    <t xml:space="preserve">Yager, Ronald R; Petry, Frederick E; </t>
  </si>
  <si>
    <t>Hypermatching: Similarity matching with extreme values</t>
  </si>
  <si>
    <t>IEEE Transactions on Fuzzy Systems</t>
  </si>
  <si>
    <t>949-957</t>
  </si>
  <si>
    <t>Exclude, Human similarity measure method, anomaly detection citation</t>
  </si>
  <si>
    <t xml:space="preserve">Vieira, Guilherme Salvador; </t>
  </si>
  <si>
    <t>Numerical Modeling of Transport by Materially Coherent Vortices in the Ocean</t>
  </si>
  <si>
    <t>Northeastern University</t>
  </si>
  <si>
    <t>Exclude, Focus is on physical fluid dynamics and oceanographic transport mechanisms without biological anomaly tracking</t>
  </si>
  <si>
    <t xml:space="preserve">Buccella, Agustina; Cechich, Alejandra; Luzuriaga, Juan Manuel; Osycka, Líam; Villegas, Carolina; Cruz, Marcos; Corgatelli, Franco; Martínez, Rodolfo; Mazalu, Rafaela; Moyano, Marcelo; </t>
  </si>
  <si>
    <t>Modelado de variedad de activos de dominio en sistemas big data</t>
  </si>
  <si>
    <t>XXIV Workshop de Investigadores en Ciencias de la Computación (WICC 2022, Mendoza)</t>
  </si>
  <si>
    <t>Exclude, not English</t>
  </si>
  <si>
    <t xml:space="preserve">Taqqu, Murad S; Teverovsky, Vadim; Willinger, Walter; </t>
  </si>
  <si>
    <t>Estimators for long-range dependence: an empirical study</t>
  </si>
  <si>
    <t>Fractals</t>
  </si>
  <si>
    <t>785-798</t>
  </si>
  <si>
    <t>World Scientific</t>
  </si>
  <si>
    <t>Exclude, General timeseries statistics methodology, not marine</t>
  </si>
  <si>
    <t xml:space="preserve">Hassan, N; Woo, Chaw Seng; </t>
  </si>
  <si>
    <t>Machine learning application in water quality using satellite data</t>
  </si>
  <si>
    <t>IOP Conference Series: Earth and Environmental Science</t>
  </si>
  <si>
    <t>IOP Publishing</t>
  </si>
  <si>
    <t>Exclude, Water quality review</t>
  </si>
  <si>
    <t xml:space="preserve">Eerola, Tuomas; Batrakhanov, Daniel; Barazandeh, Nastaran Vatankhah; Kraft, Kaisa; Haraguchi, Lumi; Lensu, Lasse; Suikkanen, Sanna; Seppälä, Jukka; Tamminen, Timo; Kälviäinen, Heikki; </t>
  </si>
  <si>
    <t>Survey of automatic plankton image recognition: challenges, existing solutions and future perspectives</t>
  </si>
  <si>
    <t>Artificial Intelligence Review</t>
  </si>
  <si>
    <t>Exclude,survey &amp; no anomaly detection applied</t>
  </si>
  <si>
    <t xml:space="preserve">Lucas, Miguel Filipe Baptista; </t>
  </si>
  <si>
    <t>Clustering Ocean Structures Using ARMOR 3D Data for Marine Pattern Recognition</t>
  </si>
  <si>
    <t>Universidade NOVA de Lisboa (Portugal)</t>
  </si>
  <si>
    <t>Exclude, Oceanographic pattern clustering broadly, not ecological anomaly focus</t>
  </si>
  <si>
    <t xml:space="preserve">Lopez, Sebastian; </t>
  </si>
  <si>
    <t>Computer vision reveals fish behaviour through structural equation modelling of movement patterns</t>
  </si>
  <si>
    <t>Measuring cross-habitat movements among habitat hotspots of fish with artificial intelligence</t>
  </si>
  <si>
    <t>Griffith University</t>
  </si>
  <si>
    <t>Exclude, behaviour modelling, no anomaly detection method apparent</t>
  </si>
  <si>
    <t xml:space="preserve">Nagano, Takanori; Irie, Masayasu; Wells, John C; </t>
  </si>
  <si>
    <t>Development of a reliability evaluation system for dissolved oxygen monitoring data using machine learning</t>
  </si>
  <si>
    <t>Hydrological Research Letters</t>
  </si>
  <si>
    <t>142-148</t>
  </si>
  <si>
    <t>Japan Society of Hydrology and Water Resources (JSHWR)/Japanese Association …</t>
  </si>
  <si>
    <t>Exclude, does not look for ecological anomalies</t>
  </si>
  <si>
    <t xml:space="preserve">Pretto, Zoé; Barbraud, Christophe; Monestiez, Pascal; Viricel, Amélia; Gasco, Nicolas; Guinet, Christophe; Lesage, Célia; Tixier, Paul; </t>
  </si>
  <si>
    <t>Demographic Insights and Spatial Distribution of the Commerson's Dolphin (Cephalorhynchus commersonii) off the Kerguelen Archipelago (Southern Indian Ocean)</t>
  </si>
  <si>
    <t>Aquatic Mammals</t>
  </si>
  <si>
    <t>218-232</t>
  </si>
  <si>
    <t>Exclude, Population demographics survey, no anomaly detection</t>
  </si>
  <si>
    <t xml:space="preserve">Liu, Miaomiao; Zhang, Mingkai; </t>
  </si>
  <si>
    <t>Role of kmax mapping image annotation method combined with R-tree index in civil engineering supervision</t>
  </si>
  <si>
    <t>Systems and Soft Computing</t>
  </si>
  <si>
    <t>Exclude, Civil engineering, marine ecology mentioned only in passing</t>
  </si>
  <si>
    <t xml:space="preserve">Tambaru, Rahmadi; </t>
  </si>
  <si>
    <t>Potentially harmful phytoplankton species in the southern part of west coastal waters of south sulawesi</t>
  </si>
  <si>
    <t>Agrikan: Jurnal Agribisnis Perikanan</t>
  </si>
  <si>
    <t>445-451</t>
  </si>
  <si>
    <t>Sangia Publishing</t>
  </si>
  <si>
    <t>Excluded, Focus is on baseline field sampling and taxonomic surveys, anomaly detection methods are not applied</t>
  </si>
  <si>
    <t xml:space="preserve">Tina, Fahmida Wazed; Afsarimanesh, Nasrin; Nag, Anindya; Alahi, Md Eshrat E; </t>
  </si>
  <si>
    <t>Integrating AIoT technologies in aquaculture: a systematic review</t>
  </si>
  <si>
    <t>Future Internet</t>
  </si>
  <si>
    <t>Exclude, General aquaculture review</t>
  </si>
  <si>
    <t xml:space="preserve">Vandermeulen, Ryan; Lance, Veronica; Otoshi, Clete; Riley, Ken; Tomlinson, Michelle; Trinh, Rebecca; </t>
  </si>
  <si>
    <t>Plankton, Aerosol, Cloud and ocean Ecosystem (PACE) satellite data for aquaculture and fisheries management</t>
  </si>
  <si>
    <t>Exclude, satellite mission technical report, no anomaly detection evaluated</t>
  </si>
  <si>
    <t xml:space="preserve">De Castelbajac, Matthieu; Bringay, Sandra; Sallaberry, Arnaud; Servajean, Maximilien; Epinoux, Clémence; Molinero, Juan Carlos; Bonnet, Delphine; </t>
  </si>
  <si>
    <t>Conformal taxonomic validation: A semi-automated validation framework for citizen science records</t>
  </si>
  <si>
    <t>Ecological Informatics</t>
  </si>
  <si>
    <t>Exclude, Species distribution/taxonomy validation, no anomaly detection apparent</t>
  </si>
  <si>
    <t xml:space="preserve">Isai, M; Mahalaxmi, Smt Kamireddy; </t>
  </si>
  <si>
    <t>Dr. Bassa Satyannarayana</t>
  </si>
  <si>
    <t>Exclude, Generic AI/ecosystem monitoring mention, no specific study</t>
  </si>
  <si>
    <t xml:space="preserve">Ihsan, Ihsan; Jamal, Muhammad; Asbar, Asbar; Sadaria, Sadaria; </t>
  </si>
  <si>
    <t>Frequency Distribution of Trap Net Catching Devices the Dominant Catched in Beach Water Sigeri District, Pankep Regency</t>
  </si>
  <si>
    <t>254-263</t>
  </si>
  <si>
    <t>Exclude, Fishing gear/catch frequency, no anomaly detection</t>
  </si>
  <si>
    <t xml:space="preserve">Pyo, JongCheol; Hong, Seok Min; Jang, Jiyi; Park, Sanghun; Park, Jongkwan; Noh, Jae Hoon; Cho, Kyung Hwa; </t>
  </si>
  <si>
    <t>Drone-borne sensing of major and accessory pigments in algae using deep learning modeling</t>
  </si>
  <si>
    <t>310-332</t>
  </si>
  <si>
    <t xml:space="preserve">Gupta, Sarthak; Vijarania, Paarth; Gupta, Swati; Vijarania, Meenu; </t>
  </si>
  <si>
    <t>Artificial Intelligence in the Current Era: Navigating the Impacts on Society and Wildlife Conservation</t>
  </si>
  <si>
    <t>AI and Machine Learning Techniques for Wildlife Conservation</t>
  </si>
  <si>
    <t>65-96</t>
  </si>
  <si>
    <t>IGI Global Scientific Publishing</t>
  </si>
  <si>
    <t>Exclude, Broad general AI overview, not a specific anomaly detection study</t>
  </si>
  <si>
    <t xml:space="preserve">Handayani, Titin; Santoso, Arif Dwi; Widyastuti, Netty; Djarot, Ira Nurhayati; Sitomurni, Amita Indah; Rifai, Akhmad; Aziz, Abdul; Apriyanto, Heri; Nadirah, Nadirah; Kusrestuwardhani, Kusrestuwardhani; </t>
  </si>
  <si>
    <t>Opportunity of Smart Aquaculture and Eco-Farming Integration in POME Bioremediation and Phycoremediation System for Environmental Sustainability</t>
  </si>
  <si>
    <t>Transdiscilinary Research and Education Center for Green Technologies …</t>
  </si>
  <si>
    <t xml:space="preserve">Rehak, Rainer; </t>
  </si>
  <si>
    <t>AI narrative breakdown. A critical assessment of power and promise</t>
  </si>
  <si>
    <t>Proceedings of the 2025 ACM Conference on Fairness, Accountability, and Transparency</t>
  </si>
  <si>
    <t>1250-1260</t>
  </si>
  <si>
    <t>Exclude, AI critique/policy essay, anomaly detection only in a citation</t>
  </si>
  <si>
    <t xml:space="preserve">Shiny, S; Priyadharshini, M; Seles, D Monica; </t>
  </si>
  <si>
    <t>Enhancing global microplastic pollution analysis using machine learning: a longitudinal study of seasonal trends and anomaly detection</t>
  </si>
  <si>
    <t>Environment, Development and Sustainability</t>
  </si>
  <si>
    <t>2553-2568</t>
  </si>
  <si>
    <t>Springer Netherlands Dordrecht</t>
  </si>
  <si>
    <t xml:space="preserve">Karimi, Ahmadreza; Karimi, Haji; Shamshiri, Sirous; Mousavi, Younes; </t>
  </si>
  <si>
    <t>Investigation of Submarine Groundwater Discharges Using Satellite Imagery and Water Balance Studies: A Case Study of the Namak-Kangan Anticline, Persian Gulf Region.</t>
  </si>
  <si>
    <t>Advanced Applied Geology</t>
  </si>
  <si>
    <t>Exclude, Hydrology/groundwater, not ecological anomaly detection</t>
  </si>
  <si>
    <t xml:space="preserve">Gondaliya, Krishna; </t>
  </si>
  <si>
    <t>IndoBlue Energy: Hybrid Ocean Power Grid (HOPG) for India</t>
  </si>
  <si>
    <t>Available at SSRN 5411702</t>
  </si>
  <si>
    <t>Exclude, Energy infrastructure not marine ecology</t>
  </si>
  <si>
    <t xml:space="preserve">Manduca, Gianluca; Santaera, Gaspare; Natoli, Ada; De Masi, Giulia; Stefanini, Cesare; Romano, Donato; </t>
  </si>
  <si>
    <t>Underwater Inspection Platform for Vision-Based Biodiversity Identification</t>
  </si>
  <si>
    <t>2025 IEEE International Workshop on Metrology for the Sea; Learning to Measure Sea Health Parameters (MetroSea)</t>
  </si>
  <si>
    <t>45-49</t>
  </si>
  <si>
    <t>Exclude, Anomaly detection only in citations</t>
  </si>
  <si>
    <t xml:space="preserve">Rajić, Milena; Mančić, Marko; Glumac, Anina; Rossi, Mosè; Rebelo, Carlos; </t>
  </si>
  <si>
    <t>Digital twins and AI integration in offshore renewable energy: A Review</t>
  </si>
  <si>
    <t>Exclude, no ecological focus</t>
  </si>
  <si>
    <t xml:space="preserve">Han, Zongxun; Gao, Xiang; Ren, Yugang; Li, Zhengbao; </t>
  </si>
  <si>
    <t>Research Progress on Key Technologies for Deep-Sea Big Data Processing</t>
  </si>
  <si>
    <t>2025 10th International Conference on Intelligent Computing and Signal Processing (ICSP)</t>
  </si>
  <si>
    <t>1123-1132</t>
  </si>
  <si>
    <t>Exclude, not ecological</t>
  </si>
  <si>
    <t xml:space="preserve">Aradi, Attila; Takács, Péter; Varga, Attila Károly; </t>
  </si>
  <si>
    <t>Applications of machine learning in underwater bioacoustics</t>
  </si>
  <si>
    <t>Eszterházy Károly Katolikus Egyetem Líceum Kiadó</t>
  </si>
  <si>
    <t>Exclude, conference review paper, anomaly detection methods are not applied or evaluated</t>
  </si>
  <si>
    <t xml:space="preserve">Rouby, Etienne; </t>
  </si>
  <si>
    <t>Stranding-Based Demographic Inference in Marine Mammals: Best Practices for Extracting Vital Rates Despite Compound Sampling Bias</t>
  </si>
  <si>
    <t>EcoEvoRxiv</t>
  </si>
  <si>
    <t>Exclude, Demographic/sampling bias methodology, not anomaly detection</t>
  </si>
  <si>
    <t xml:space="preserve">Ashrafi, Aida; Enberg, Katja; Tessem, Bjørnar; </t>
  </si>
  <si>
    <t>Interpretable AI for Fisheries Data</t>
  </si>
  <si>
    <t>Norsk IKT-konferanse for forskning og utdanning</t>
  </si>
  <si>
    <t>Exclude, Illegal fishing activity detection, not ecological anomaly</t>
  </si>
  <si>
    <t xml:space="preserve">Bao, Y; Wan, TH; Chen, L; Cheng, JY; Li, LP; </t>
  </si>
  <si>
    <t>Research on the coordinated development path of coastal zone ecosystem health assessment and tourism: a case study of Chinese coastal cities.</t>
  </si>
  <si>
    <t>Applied Ecology &amp; Environmental Research</t>
  </si>
  <si>
    <t>Exclude, Bibliometric/tourism development study, not anomaly detection</t>
  </si>
  <si>
    <t xml:space="preserve">Öcal, Melda Meral; Yalçın, İlkcan; Tekdal, Dilek; </t>
  </si>
  <si>
    <t>Investigation of Changes in Salt and Microalgal Population Status in Çevlik (Samandağ, Hatay), Pompei (Mezitli, Mersin) Coastal Region Marine Water Resources</t>
  </si>
  <si>
    <t>Black Sea Journal of Engineering and Science</t>
  </si>
  <si>
    <t>1268-1272</t>
  </si>
  <si>
    <t>Karyay Karadeniz Yayımcılık Ve Organizasyon Ticaret Limited Şirketi</t>
  </si>
  <si>
    <t>Exclude, Focus is on baseline field sampling and chemical monitoring, anomaly detection methods are not applied</t>
  </si>
  <si>
    <t xml:space="preserve">Hussin, Aimi Alina; Razak, Mohd Ibrahim Bin Shapiai; Mohamad, Shaza Eva; Iwamoto, Koji; Kamaroddin, Mohd Farizal; Takemoto, Kazuhiro; </t>
  </si>
  <si>
    <t>A Comprehensive Freshwater Microalgae Dataset for Deep Learning-Based Classification with Transfer Learning Analysis</t>
  </si>
  <si>
    <t>Shaza Eva and Iwamoto, Koji and Kamaroddin, Mohd Farizal and Takemoto, Kazuhiro, A Comprehensive Freshwater Microalgae Dataset for Deep Learning-Based Classification with Transfer Learning Analysis</t>
  </si>
  <si>
    <t>Exclude, feshwater not marine</t>
  </si>
  <si>
    <t xml:space="preserve">Caraka, Rezzy Eko; Supardi, Khairunnisa; Gio, Prana Ugiana; Isnaniawardhani, Vijaya; Djatmiko, Bekti; Putri, Rumanintya Lisaria; Lukas, Amos; Chen, Rung Ching; Pardamean, Bens; </t>
  </si>
  <si>
    <t>Using Kolmogorov–Arnold network and ResNet for marine protein mapping in support of the Prabowo–Gibran MBG program</t>
  </si>
  <si>
    <t>Discover Sustainability</t>
  </si>
  <si>
    <t>Exclude, Focus is on supervised species classification and baseline distribution mapping, not anomaly detection</t>
  </si>
  <si>
    <t xml:space="preserve">Le Moigne, Jacqueline; Smith, Benjamin D; Rogers, Laura J; Little, Michael M; Ranson, K Jon; Morris, Robert A; Oza, Nikunj C; </t>
  </si>
  <si>
    <t>“What Now/What Next/What If” Or NASA Earth System Digital Twins</t>
  </si>
  <si>
    <t>IEEE Geoscience and Remote Sensing Magazine</t>
  </si>
  <si>
    <t>Exclude, Aeronautics focused bio of a researcher, not a marine study</t>
  </si>
  <si>
    <t xml:space="preserve">SIRAJ, KHAN HEENA KAUSAR; </t>
  </si>
  <si>
    <t>The Ethical Use of Artificial Intelligence in Teacher Training and Evaluation</t>
  </si>
  <si>
    <t>Multidisciplinary Research Area in Arts, Science &amp; Commerce (Volume-10)</t>
  </si>
  <si>
    <t>The Hill Publication</t>
  </si>
  <si>
    <t>Exclude, Education/AI ethics, not marine</t>
  </si>
  <si>
    <t xml:space="preserve">Ding, Song; Li, Zhipeng; </t>
  </si>
  <si>
    <t>Haodong Liu* and Qian Wu</t>
  </si>
  <si>
    <t>Challenges and Solutions in Forecasting and Decision-Making in Marine Economy and Management</t>
  </si>
  <si>
    <t xml:space="preserve">Exclude, management science </t>
  </si>
  <si>
    <t xml:space="preserve">Saw, Jaewon; </t>
  </si>
  <si>
    <t>Listening with Light: Distributed Acoustic Sensing for Event Detection, Characterization, and Classification</t>
  </si>
  <si>
    <t>University of California, Berkeley</t>
  </si>
  <si>
    <t>Exclude, Oil/gas well integrity monitoring, not marine ecology</t>
  </si>
  <si>
    <t xml:space="preserve">Tuttle Raz, Lillian J; Grabowski, Timothy B; Masse, Richard; </t>
  </si>
  <si>
    <t>Analysis and review of fishery-dependent data for Hawaiian nearshore noncommercial fisheries</t>
  </si>
  <si>
    <t>Exclude, Fisheries data review, no anomaly detection</t>
  </si>
  <si>
    <t xml:space="preserve">Meng, Zhuolun; </t>
  </si>
  <si>
    <t>Rapid Diagnostic Toolkits for Real-Time Monitoring of Human and Environmental Health</t>
  </si>
  <si>
    <t>Rutgers The State University of New Jersey, School of Graduate Studies</t>
  </si>
  <si>
    <t>Exclude, Broad health monitoring, no marine ecology anomaly detection specifics</t>
  </si>
  <si>
    <t xml:space="preserve">Spillias, Scott; Rogers, Jacob GD; Boschetti, Fabio; Fulton, Elizabeth A; Guglielmo, Magda; Yong, Suk Yee; Trebilco, Rowan; </t>
  </si>
  <si>
    <t>Data‐driven discovery of mechanistic ecosystem models with LLMs</t>
  </si>
  <si>
    <t>Methods in Ecology and Evolution</t>
  </si>
  <si>
    <t>1303-1321</t>
  </si>
  <si>
    <t>Exclude, LLM based model discovery, not anomaly detection</t>
  </si>
  <si>
    <t xml:space="preserve">Izuwa, Emmanuel; Asif, Seemal; Webb, Phil; </t>
  </si>
  <si>
    <t>Evolution and application of dimensional metrology: a comparative review</t>
  </si>
  <si>
    <t>International Journal of Computer Integrated Manufacturing</t>
  </si>
  <si>
    <t>Exclude, Industrial measurement/calibration review, not marine ecology study</t>
  </si>
  <si>
    <t xml:space="preserve">Bolinski, Ina; </t>
  </si>
  <si>
    <t>MULTISPECIES COMMUNITIES Bolinski/Rieger: Eine Lebenswelt von allen und für alle ä Mancini: Animal-Computer Interaction ä Wirman: Spiele für Fremde/mit Fremden ä Aspling/Wang/Juhlin: Plant-Computer Interaction ä Hauser: Zur Rehabilitierung der Bakterien ä Parikka: Insekten und Kanarienvögel ä Szopek ua: Autonome Roboterschwärme als Stabilisatoren gefährdeter</t>
  </si>
  <si>
    <t>Exclude, not marine ecology anomaly detection</t>
  </si>
  <si>
    <t xml:space="preserve">Hügel, Stefan; Kreowski, Hans-Jörg; Rehak, Rainer; Weichert, Thilo; Lankau, Ralf; Boedicker, Dagmar; Molden, Berthold; zivilgesellschaftlicher Organisationen, Bündnis; Declaration, Uppsala; Leisegang, Daniel; </t>
  </si>
  <si>
    <t>Zeitschrift für Informatik und Gesellschaft</t>
  </si>
  <si>
    <t xml:space="preserve">Bilousova, Olga; Krinitskiy, Mikhail; Pogojeva, Maria; Spirina, Viktoriia; Krivoshlyk, Polina; </t>
  </si>
  <si>
    <t>A Comparison of Self-Supervised and Supervised Deep Learning Approaches in Floating Marine Litter and Other Types of Sea-Surface Anomalies Detection</t>
  </si>
  <si>
    <t>Exclude, performing standard object localization/classification on seabirds, not anomaly detection</t>
  </si>
  <si>
    <t xml:space="preserve">Minglong, Wang; Feng, Zhu; Hu, Jian; </t>
  </si>
  <si>
    <t>A machine learning-driven framework for enhancing underwater visual signal processing in marine ecosystem economic monitoring and anthropogenic impact assessment</t>
  </si>
  <si>
    <t>Frontiers in Environmental Science</t>
  </si>
  <si>
    <t>Exclude, economic/anthropogenic monitoring, not ecological anomaly focus</t>
  </si>
  <si>
    <t xml:space="preserve">Sorochan, Kevin; Vaswani, Ankita Ravi; Howard, Ann; Rühl, Saskia; O’Grady, Emily; Möller, Klas Ove; Johnson, Catherine L; </t>
  </si>
  <si>
    <t>Practical guidance on automated sorting of underwater images in plankton ecology research</t>
  </si>
  <si>
    <t>ICES Journal of Marine Science</t>
  </si>
  <si>
    <t>fsaf212</t>
  </si>
  <si>
    <t>Oxford University Press</t>
  </si>
  <si>
    <t>Exclude, Focus is on baseline closed set taxonomic classification/sorting, not anomaly detection methods</t>
  </si>
  <si>
    <t xml:space="preserve">Chen, Yizi; Barcan, Alexandru S; Zhang, Jiushuang; Li, Jun; He, Lisheng; Wang, Yong; </t>
  </si>
  <si>
    <t>In situ swimming behavior of the Mariana snailfish Pseudoliparis swirei</t>
  </si>
  <si>
    <t>Exclude, Focus is on descriptive biological/behavioral characterisation without anomaly detection</t>
  </si>
  <si>
    <t xml:space="preserve">Mohan, Venkateshwaran; Mahavishnu, VC; Vikhas, SG; Manimegalai, R; Ganesh, Shyam; </t>
  </si>
  <si>
    <t>Effective Marine Animal Detection and Rare Species Classification Using Autonomous Drones</t>
  </si>
  <si>
    <t>2025 Second International Conference on Intelligent Technologies for Sustainable Electric and Communications Systems (iTech SECOM)</t>
  </si>
  <si>
    <t>Exclude, Focus is on baseline target object detection and supervised rare class classification, not anomaly detection</t>
  </si>
  <si>
    <t xml:space="preserve">Salbitani, Giovanna; Siettos, Constantinos; Hassan, Muhammad; </t>
  </si>
  <si>
    <t>Explainable Deep Learning for Plankton Classification: Bridging the Gap Between AI and Marine Biology</t>
  </si>
  <si>
    <t>Exclude, Focus is on model interpretability (XAI) for standard classification tasks, not anomaly detection</t>
  </si>
  <si>
    <t xml:space="preserve">SAIRAM, B; </t>
  </si>
  <si>
    <t>A Novel Dataset For Non-Reference Evaluation Of Underwater Image Enhancement</t>
  </si>
  <si>
    <t>VIDWAN Journal of Science, Technology and Innovation</t>
  </si>
  <si>
    <t>Exclude, Focus is on computer vision image preprocessing (enhancement) without ecological context</t>
  </si>
  <si>
    <t xml:space="preserve">Gao, Peiheng; </t>
  </si>
  <si>
    <t>Anomaly Detection and Model Construction With the Focus on Natural Language Processing in Consumer Complaint Textual Analysis</t>
  </si>
  <si>
    <t>The University of Western Ontario</t>
  </si>
  <si>
    <t xml:space="preserve">Karthiga, B; Avanthitha, A; Dhanusri, R; Deepa, P; Nelci, A Jerita; </t>
  </si>
  <si>
    <t>Design and Implementation of an Automated Vision System using YOLO for Identification and Classification of Marine Phytoplankton</t>
  </si>
  <si>
    <t>2026 9th International Conference on Intelligent Computing and Control Systems (ICICCS)</t>
  </si>
  <si>
    <t>1113-1118</t>
  </si>
  <si>
    <t>Exclude, Focus is on standard target object detection and closed set classification, not anomaly detection</t>
  </si>
  <si>
    <t xml:space="preserve">Kapoor, Chinmay; Singh, Bhan; Popli, Navneet Kaur; Mamun, Mohammad; </t>
  </si>
  <si>
    <t>FUSTT: Forecasting Using Spatio-Temporal Transformers for Predicting Marine Stressors of Blue-Carbon Ecosystems</t>
  </si>
  <si>
    <t>IEEE Journal of Selected Topics in Applied Earth Observations and Remote Sensing</t>
  </si>
  <si>
    <t>731-744</t>
  </si>
  <si>
    <t xml:space="preserve"> Exclude, Anomaly detection not applied or evaluated</t>
  </si>
  <si>
    <t xml:space="preserve">Cazzetta, Armando; Zangaro, Francesco; Marcucci, Francesca; Julius, Olumide Temitope; Rainò, Marco; Shauer, Mahallelah; Massaro, Roberto; Semeraro, Teodoro; Basset, Alberto; Pinna, Maurizio; </t>
  </si>
  <si>
    <t>Applying artificial intelligence (AI) innovative tools for ecological research and monitoring of transitional water ecosystems: A systematic review</t>
  </si>
  <si>
    <t>Environments</t>
  </si>
  <si>
    <t>Exclude, High level systematic review paper; anomaly detection methods are not applied or evaluated</t>
  </si>
  <si>
    <t xml:space="preserve">Gorai, Priyanka; Singh, Anuj; Balamurugan, G; </t>
  </si>
  <si>
    <t>Advanced Underwater Object Detection Using AI: Integrating 6G and IoT Technologies for Marine Ecosystem Monitoring</t>
  </si>
  <si>
    <t>Security Paradigms in 6G Smart Cities and IoT Ecosystems</t>
  </si>
  <si>
    <t>350-359</t>
  </si>
  <si>
    <t>CRC Press</t>
  </si>
  <si>
    <t>Exclude, Focus is on telecommunication network architectures and standard object localization, not anomaly detection</t>
  </si>
  <si>
    <t xml:space="preserve">Lippi, Vittorio; Johard, Leonard; Landucci, Gabriele; </t>
  </si>
  <si>
    <t>Mimo and multi-group comparison problem in process control: A multivariate statistical framework for systems represented with frequency response functions</t>
  </si>
  <si>
    <t>arXiv preprint arXiv:2609.12904</t>
  </si>
  <si>
    <t>Exclude, Systems engineering, not marine</t>
  </si>
  <si>
    <t xml:space="preserve">Lundgren, Ian; </t>
  </si>
  <si>
    <t>Is coral recruitment limited by sedimentation at War in the Pacific National Historical Park</t>
  </si>
  <si>
    <t>…, Places, and Parks: Proceedings of the…</t>
  </si>
  <si>
    <t>Exclude, Focus is on baseline biological field sampling and environmental stressors without anomaly detection</t>
  </si>
  <si>
    <t xml:space="preserve">Chuang, Cheng‐Han; Chiu, Uei‐Chen; Huang, Chang‐Wen; Chang, Kuan Y; </t>
  </si>
  <si>
    <t>Associations of anomalous water temperature, salinity, and pH with change in water color of fish farming ponds</t>
  </si>
  <si>
    <t>Journal of the World Aquaculture Society</t>
  </si>
  <si>
    <t>1563-1574</t>
  </si>
  <si>
    <t xml:space="preserve">Screen further </t>
  </si>
  <si>
    <t xml:space="preserve">Pruseth, Babita; Raut, Subhashree Subhasmita; Panda, Soumya Prasad; Das, Basanta Kumar; </t>
  </si>
  <si>
    <t>Machine Learning Application in Aquatic Health Prediction</t>
  </si>
  <si>
    <t>Bioinformatics Tools for Predictive Ecology and Fisheries</t>
  </si>
  <si>
    <t>31-42</t>
  </si>
  <si>
    <t xml:space="preserve">Pichler, Maximilian; Hartig, Florian; </t>
  </si>
  <si>
    <t>Machine learning and deep learning—A review for ecologists</t>
  </si>
  <si>
    <t>994-1016</t>
  </si>
  <si>
    <t>Exclude, review, no anomaly detection</t>
  </si>
  <si>
    <t xml:space="preserve">Sahoo, Maheswata; Nayak, Ananya; Pati, Ankita; Behera, Dibyajyoti Uttameswar; </t>
  </si>
  <si>
    <t>Predictive Modelling in Aquatic Ecosystems Using Bioinformatics</t>
  </si>
  <si>
    <t>323-339</t>
  </si>
  <si>
    <t xml:space="preserve">Luin, Jeffrey; </t>
  </si>
  <si>
    <t>Talk on" MS 1314: 2004 Precast Concrete Piles</t>
  </si>
  <si>
    <t>Exclude, no marine ecology</t>
  </si>
  <si>
    <t xml:space="preserve">Dhami, Manpreet; </t>
  </si>
  <si>
    <t>Observations of novel invasive ant-scale insect interactions on the threatened vine Tecomanthe speciosa in Auckland</t>
  </si>
  <si>
    <t>Exclude, Terrestrial insect ecology, not marine</t>
  </si>
  <si>
    <t xml:space="preserve">Cao, Xinyu; Tao, Bangyi; Liu, Chunli; Ai, Libo; Li, Changpeng; Li, Shiji; Li, Xiaolong; Zhang, Yize; </t>
  </si>
  <si>
    <t>Association of abnormal Yantai-Weihai coastal front with large-scale algal bloom in winter in the northern Shandong Peninsula coastal waters</t>
  </si>
  <si>
    <t>Progress in Oceanography</t>
  </si>
  <si>
    <t>Exclude, Anomaly detection not applied or evaluated</t>
  </si>
  <si>
    <t xml:space="preserve">Martín-García, Laura; Casas, Enrique; Hernández-Leal, Pedro A; Botelho, Andrea Z; Arbelo, Manuel; </t>
  </si>
  <si>
    <t>A Decade of Optical Remote Sensing Applications in Marine Biodiversity and Benthic Habitat Monitoring: A Systematic Review</t>
  </si>
  <si>
    <t xml:space="preserve">Kühn, Bernhard; Cayetano, Arjay; Fincham, Jennifer I; Moustahfid, Hassan; Sokolova, Maria; Trifonova, Neda; Watson, Jordan T; Fernandes-Salvador, Jose A; Uusitalo, Laura; </t>
  </si>
  <si>
    <t>Machine learning applications for fisheries—at scales from genomics to ecosystems</t>
  </si>
  <si>
    <t>Reviews in Fisheries Science &amp; Aquaculture</t>
  </si>
  <si>
    <t>334-357</t>
  </si>
  <si>
    <t xml:space="preserve">Fancy, C; Metilda Florence, S; Anand, M; Joseph Raymond, V; </t>
  </si>
  <si>
    <t>Detection of Ecosystem Changes Using Bioacoustics Techniques</t>
  </si>
  <si>
    <t>Computational Bioacoustic Artificial Intelligence</t>
  </si>
  <si>
    <t>149-161</t>
  </si>
  <si>
    <t>Exclude, review/book chapter, anomaly detection methods are not applied or evaluated</t>
  </si>
  <si>
    <t xml:space="preserve">Green, Arthur; </t>
  </si>
  <si>
    <t>Arthur Green,“A Kabbalah for the Environmental Age,” Tikkun, vol. 14, no. 5 (September-October 1999): 33-38</t>
  </si>
  <si>
    <t>Exclude, Philosophical/religious text completely lacking scientific, data science, or marine context</t>
  </si>
  <si>
    <t xml:space="preserve">Bove, Pasquale; Bertini, Andrea; Coro, Gianpaolo; </t>
  </si>
  <si>
    <t>Estimating species commonness and prevalence through unsupervised methods</t>
  </si>
  <si>
    <t>Exclude, Species distribution modelling, not anomaly detection</t>
  </si>
  <si>
    <t xml:space="preserve">Zhang, Qizhong; Zheng, Endi; Wang, Yejian; Gao, Farong; </t>
  </si>
  <si>
    <t>Recognition of ocean floor manganese nodules by deep kernel fuzzy C-means clustering of hyperspectral images</t>
  </si>
  <si>
    <t>Journal of Image and Graphics</t>
  </si>
  <si>
    <t>1886-1895</t>
  </si>
  <si>
    <t>Beijing Zhongke Journal Publising Co. Ltd.</t>
  </si>
  <si>
    <t>Exclude, Geological/mineral detection, not ecological</t>
  </si>
  <si>
    <t xml:space="preserve">Dujon, Antoine M; Vittecoq, Marion; Bramwell, Georgina; Thomas, Frédéric; Ujvari, Beata; </t>
  </si>
  <si>
    <t>Machine learning is a powerful tool to study the effect of cancer on species and ecosystems</t>
  </si>
  <si>
    <t>2310-2323</t>
  </si>
  <si>
    <t>Exclude, Wildlife cancer epidemiology, not anomaly detection method</t>
  </si>
  <si>
    <t xml:space="preserve">Yang, Litian; Chen, Wenkun; Mo, Zhuoyue; Gao, Xin; Mo, Minzhi; Xia, Chunlei; Zhang, Liankuan; </t>
  </si>
  <si>
    <t>Spectral-YOLOv13: A Dual-Domain Vision-Mamba Sensing Framework for Fine-Grained Coral Health Assessment and Continuous Ecological Forecasting</t>
  </si>
  <si>
    <t xml:space="preserve">Ruf, Wolfgang; Auld, Stephen; </t>
  </si>
  <si>
    <t>The Critical Role of Monitoring in Offshore Carbon Capture and Storage</t>
  </si>
  <si>
    <t>Offshore Technology Conference</t>
  </si>
  <si>
    <t>D021S023R003</t>
  </si>
  <si>
    <t>OTC</t>
  </si>
  <si>
    <t>Exclude, CCS infrastructure monitoring, not ecological</t>
  </si>
  <si>
    <t xml:space="preserve">Sarode, Ghanasham Chandrakant; Gholap, Puja; Pathak, Kishor Renukadasrao; Vali, PSN Masthan; Saharkar, Upendrra; Murali, Govindarajan; Kurhade, Anant Sidhappa; </t>
  </si>
  <si>
    <t>Edge AI and Explainable Models for Real-Time Decision-Making in Ocean Renewable Energy Systems</t>
  </si>
  <si>
    <t>Sustainable Marine Structures</t>
  </si>
  <si>
    <t>17–42-17–42</t>
  </si>
  <si>
    <t xml:space="preserve">Glaser, Marion; </t>
  </si>
  <si>
    <t>Human/nature interaction in the anthropocene</t>
  </si>
  <si>
    <t>Exclude, Broad anthropocene discussion, anomaly detection mentioned re: cybersecurity</t>
  </si>
  <si>
    <t xml:space="preserve">LIU, Jiangxun; LIU, Zijun; LIU, Hui; </t>
  </si>
  <si>
    <t>A hybrid prediction model based on decomposition algorithm and sample entropy-weighted attention mechanism for mobile robot agricultural environment monitoring</t>
  </si>
  <si>
    <t>Applied Soft Computing</t>
  </si>
  <si>
    <t>Exclude, Agricultural robotics, mentions marine ecology only in passing</t>
  </si>
  <si>
    <t xml:space="preserve">Scarpa, Fabio; </t>
  </si>
  <si>
    <t>A complex species complex: The controversial role of ecology and biogeography in the evolutionary history of Syllis gracilis Grube, 1840 (Annelida, Syllidae)</t>
  </si>
  <si>
    <t>Journal of Zoological Systematics and Evolutionary Research</t>
  </si>
  <si>
    <t>Exclude, Taxonomy/evolutionary biology, anomaly detection appears unrelated</t>
  </si>
  <si>
    <t xml:space="preserve">Costa, Ana; </t>
  </si>
  <si>
    <t>Benthic diatoms and macroinvertebrates in the assessment of the ecological status of Azorean streams</t>
  </si>
  <si>
    <t>limnetica</t>
  </si>
  <si>
    <t>Exclude, Freshwater stream ecology, not marine</t>
  </si>
  <si>
    <t xml:space="preserve">Clink, Dena J; Klinck, Holger; </t>
  </si>
  <si>
    <t>Unsupervised acoustic classification of individual gibbon females and the implications for passive acoustic monitoring</t>
  </si>
  <si>
    <t>328-341</t>
  </si>
  <si>
    <t>Exclude, Terrestrial primate, not marine</t>
  </si>
  <si>
    <t xml:space="preserve">Al-Dawood, Thamer; </t>
  </si>
  <si>
    <t>Spatial and Temporal Variations of Marine Benthic In-fauna Community in Bahrain</t>
  </si>
  <si>
    <t>Exclude, Ecological survey, no anomaly detection methods apparent</t>
  </si>
  <si>
    <t xml:space="preserve">Jeniffer, J Thresa; Thatheyus, A Joseph; </t>
  </si>
  <si>
    <t>Study of Biodiversity and Ecology Using</t>
  </si>
  <si>
    <t>Application of Machine Learning in Earth Sciences: A Practical Approach</t>
  </si>
  <si>
    <t>Exclude, Sampling theory paper, no anomaly detection</t>
  </si>
  <si>
    <t xml:space="preserve">Kalaivani, T; Baranidharan, T; </t>
  </si>
  <si>
    <t>Smart Ecosystem Modelling for Real-Time Coral Reef Deoxygenation Mitigation</t>
  </si>
  <si>
    <t>2025 International Conference on Emerging Research in Computational Science (ICERCS)</t>
  </si>
  <si>
    <t xml:space="preserve">Meghana, Meerupelli; Shivakumar, P; Sahitya, Korivi; Sriram, Basaraju; Ranjith, Nelakuditi; Sandeep, Kinnera; </t>
  </si>
  <si>
    <t>SMART CORAL CLASSIFICATION FROM REEF IMAGERY USING DEEP CNN TECHNIQUES</t>
  </si>
  <si>
    <t>Journal of Science Engineering Technology and Management Science ISSN</t>
  </si>
  <si>
    <t xml:space="preserve">Nelli, Filippo; Ge, Zongyuan; Blackall, Linda; Taheriashtiani, Negar; Henry, Rebekah; Brumley, Douglas R; Grace, Michael; Jex, Aaron; Burch, Michael; Lin, Tsair-Fuh; </t>
  </si>
  <si>
    <t>Machine learning driven image segmentation and shape clustering of algal microscopic images obtained from various water types</t>
  </si>
  <si>
    <t xml:space="preserve">Carballo Pérez, Áurea Genoveva; Magariños-Docampo, Pablo; Orgeira-Crespo, Pedro; Aguado-Agelet, Fernando; </t>
  </si>
  <si>
    <t>Weakly Supervised Segmentation of Macroalgae Through Gradient Analysis in Convolutional Neural Networks and Segment Anything Model</t>
  </si>
  <si>
    <t>Exclude, Segmentation method, no anomaly detection apparent</t>
  </si>
  <si>
    <t xml:space="preserve">Thessen, A; </t>
  </si>
  <si>
    <t>Adoption of machine learning techniques in ecology and earth science. One Ecosystem, 1, e8621</t>
  </si>
  <si>
    <t>Exclude, no anomaly detection benchmarked</t>
  </si>
  <si>
    <t xml:space="preserve">Liu, Zhenxia; Zhao, Binru; Du, Pei; Dai, Yanhui; Luo, Wen; Yuan, Linwang; Yu, Zhaoyuan; </t>
  </si>
  <si>
    <t>Two critical radii dominate phytoplankton response to marine heatwaves in the South China Sea</t>
  </si>
  <si>
    <t>Journal of Geophysical Research: Oceans</t>
  </si>
  <si>
    <t>e2025JC023657</t>
  </si>
  <si>
    <t xml:space="preserve">Exclude, no anomaly detection </t>
  </si>
  <si>
    <t xml:space="preserve">Davenport, JOHN; </t>
  </si>
  <si>
    <t>OXYGEN MICROENVIRONMENT OF CORALLINE ALGAL TUFTS AND THEIR ASSOCIATED EPIPHYTIC ANIMALS</t>
  </si>
  <si>
    <t>Biology &amp; Environment: Proceedings of the Royal Irish Academy</t>
  </si>
  <si>
    <t>Exclude, Anomaly detection mentioned only re: generic vision APIs, unrelated to paper's ecological method</t>
  </si>
  <si>
    <t xml:space="preserve">Tada, Sujilatha; Jeevanantham, V; </t>
  </si>
  <si>
    <t>Exploring oceanic depths: unveiling hidden treasures with IoT and ensembled deep hybrid learning model</t>
  </si>
  <si>
    <t>Exclude, Generic IoT object detection, no clear ecological anomaly focus</t>
  </si>
  <si>
    <t xml:space="preserve">Upadhyay, Arya; </t>
  </si>
  <si>
    <t>Biodegradable nanorobots meet edge computing: Sustainable intelligence in the soil</t>
  </si>
  <si>
    <t>IEEE Potentials</t>
  </si>
  <si>
    <t>Exclude, Soil/agriculture focused, marine ecology mentioned only as a potential example</t>
  </si>
  <si>
    <t xml:space="preserve">Molinero, Juan Carlos; Ibanez, Frédéric; Souissi, Sami; Buecher, Emmanuelle; Dallot, Serge; Nival, Paul; </t>
  </si>
  <si>
    <t>Climate control on the long‐term anomalous changes of zooplankton communities in the Northwestern Mediterranean</t>
  </si>
  <si>
    <t>Global Change Biology</t>
  </si>
  <si>
    <t xml:space="preserve">Phrampus, Benjamin J; Lee, Taylor R; Wood, Warren T; </t>
  </si>
  <si>
    <t>A global probabilistic prediction of cold seeps and associated SEAfloor FLuid Expulsion Anomalies (SEAFLEAs)</t>
  </si>
  <si>
    <t>Geochemistry, Geophysics, Geosystems</t>
  </si>
  <si>
    <t>e2019GC008747</t>
  </si>
  <si>
    <t>Exclude, no ecological anomalty detection</t>
  </si>
  <si>
    <t xml:space="preserve">Rikkou-Kalourkoti, Maria; </t>
  </si>
  <si>
    <t>Well-defined networks with precisely located cleavable sites: Structure optimization and core functionality determination</t>
  </si>
  <si>
    <t>Macromolecules</t>
  </si>
  <si>
    <t xml:space="preserve">Jung, Kwangwoog; Cho, Yang-Ki; Kwak, Myeong-Taek; </t>
  </si>
  <si>
    <t>Prediction of the temperature profiles using the generative model and the stacking ensemble method in a marginal sea</t>
  </si>
  <si>
    <t>Applied Computing and Geosciences</t>
  </si>
  <si>
    <t>Exclude, no anomalty detection</t>
  </si>
  <si>
    <t xml:space="preserve">Coma, R; </t>
  </si>
  <si>
    <t>Biodiversidad genética de organismos marinos en el Parque Nacional de Cabrera: aplicaciones para la conservación</t>
  </si>
  <si>
    <t>Exclude, not English &amp; no anomaly detection</t>
  </si>
  <si>
    <t xml:space="preserve">Shi, Runze; Xie, Mingyang; Liu, Bin; Chen, Xinjun; Yu, Wei; Wang, Jintao; </t>
  </si>
  <si>
    <t>Fishery knowledge-guided machine learning for spatial prediction of catch-per-unit-effort</t>
  </si>
  <si>
    <t>Ecological Indicators</t>
  </si>
  <si>
    <t>Exclude, Catch prediction, no anomaly detection apparent</t>
  </si>
  <si>
    <t xml:space="preserve">Shimada, Ichio; Inagaki, Fuyuhiko; Suzuki, Akemi; Bax, Ad; </t>
  </si>
  <si>
    <t>Relayed HOHAHA, a useful method for extracting subspectra of individual components of sugar chains</t>
  </si>
  <si>
    <t>Journal of magnetic resonance</t>
  </si>
  <si>
    <t>Exclude, Chemistry/NMR method, not marine anomaly detection</t>
  </si>
  <si>
    <t xml:space="preserve">Lopez-Vazquez, Vanesa; Geovanny, Satama-Bermeo; Issa, Raheem Hasan; Lopez-Guede, Jose Manuel; </t>
  </si>
  <si>
    <t>State of the Art: Analysis of Deep Learning Techniques in Images Acquired in an Aquatic Environment</t>
  </si>
  <si>
    <t>Machine Learning and Knowledge Extraction</t>
  </si>
  <si>
    <t>MDPI AG</t>
  </si>
  <si>
    <t>Exclude, review, no anomaly detection performed</t>
  </si>
  <si>
    <t xml:space="preserve">Purkis, Sam; </t>
  </si>
  <si>
    <t>Coral Bleaching and Mortality in the Chagos Archipelago</t>
  </si>
  <si>
    <t>Atoll Research Bulletin</t>
  </si>
  <si>
    <t>Exclude, no anomaly detection performed</t>
  </si>
  <si>
    <t>UNIVERSIT YO FEDINBURG H Doctor of Philosophy Institute of Perception, Action and Behaviour School of Informatics</t>
  </si>
  <si>
    <t xml:space="preserve">Pandey, Shivam; Singh, Gajender; Gupta, RK; Dahiya, Tejpal; Reetu; Kumari, Nisha; Sharma, Mayur Mukut Murlidhar; </t>
  </si>
  <si>
    <t>Automation’s Role in Sustainable Aquaculture Practices</t>
  </si>
  <si>
    <t>Sustainability in Aquaculture and Fisheries</t>
  </si>
  <si>
    <t>455-478</t>
  </si>
  <si>
    <t>Exclude, General aquaculture automation review</t>
  </si>
  <si>
    <t xml:space="preserve">Du, Yiling; He, Yinghui; Barcan, Alexandru S; Wang, Yunning; Tan, Li; Baltar, Federico; Wang, Yong; </t>
  </si>
  <si>
    <t>Omics insights: in situ tools shed light on deep-sea microbial activities</t>
  </si>
  <si>
    <t>Ocean</t>
  </si>
  <si>
    <t>清华大学出版社</t>
  </si>
  <si>
    <t>Exclude, not ecologicl context, focused on hardware</t>
  </si>
  <si>
    <t xml:space="preserve">Variable-Scale, CNN; Wang, Yazhou; Gao, Yimin Chen Jian; Yu, Yang; Wang, Jiarun; </t>
  </si>
  <si>
    <t>A Fault Diagnosis Method for AUVs</t>
  </si>
  <si>
    <t>Proceedings of 3rd 2023 International Conference on Autonomous Unmanned Systems (3rd ICAUS 2023): Volume V</t>
  </si>
  <si>
    <t>Exclude, not ecological context</t>
  </si>
  <si>
    <t xml:space="preserve">Munch, Stephan B; Rogers, Tanya L; Sugihara, George; </t>
  </si>
  <si>
    <t>Recent developments in empirical dynamic modelling</t>
  </si>
  <si>
    <t>732-745</t>
  </si>
  <si>
    <t>Exclude, General ecosystem modelling methodology, no anomaly detection</t>
  </si>
  <si>
    <t xml:space="preserve">Banerjee, Puja; </t>
  </si>
  <si>
    <t>Machine Learning for Optimized Ocean Exploration Data Analysis</t>
  </si>
  <si>
    <t>University of Rhode Island</t>
  </si>
  <si>
    <t>Exclude, AE used for dimension reduction not anomaly detection</t>
  </si>
  <si>
    <t xml:space="preserve">Benavides Martínez, Iván Felipe; Portilla-Cabrera, Cristiam Victoriano; Mills, Katherine E; Enterline, Claire; Vargas, Jose; Allyn, Andrew; Ganguly, Auroop R; </t>
  </si>
  <si>
    <t>ECOSAIC: A dual Ecologically-Informed Deep Learning Framework for Interpretable and Validatable Habitat Mapping</t>
  </si>
  <si>
    <t xml:space="preserve">McComb‐Turbitt, Sarah; Costa, Joana; Whitehead, Hal; Auger‐Méthé, Marie; </t>
  </si>
  <si>
    <t>Small‐scale spatial distributions of long‐finned pilot whales change over time, but foraging hot spots are consistent: Significance for marine wildlife tourism management</t>
  </si>
  <si>
    <t>Marine Mammal Science</t>
  </si>
  <si>
    <t>1196-1211</t>
  </si>
  <si>
    <t>Exclude, Spatial distribution/tourism impact, no anomaly detection</t>
  </si>
  <si>
    <t xml:space="preserve">Sineglazov, Victor; Savchenko, Mykhailo; </t>
  </si>
  <si>
    <t>FrYOLO: Fractional-Order Feature Propagation for Object Detection in Forward-Looking Sonar</t>
  </si>
  <si>
    <t xml:space="preserve">Exclude, General underwater object detection, no anomaly/ecological focus </t>
  </si>
  <si>
    <t xml:space="preserve">Li, Ming; He, Junyu; </t>
  </si>
  <si>
    <t>Fractional Processes and Systems in Computer Science and Engineering</t>
  </si>
  <si>
    <t>Fractal and Fractional</t>
  </si>
  <si>
    <t>Exclude, General math/computer science theory, not marine</t>
  </si>
  <si>
    <t xml:space="preserve">Yang, Gang; Wang, Xuelei; Wang, Junping; Shen, Weiliang; Yang, Hongsheng; Li, Qingfei; Lin, Chenggang; </t>
  </si>
  <si>
    <t>An Enhanced Particle Swarm Optimized RBF Model for Precise Fish Population Estimation in Cage Farming</t>
  </si>
  <si>
    <t>Animals</t>
  </si>
  <si>
    <t>Exclude, Biomass estimation method, no anomaly detection</t>
  </si>
  <si>
    <t xml:space="preserve">Masud, Mohammad M; </t>
  </si>
  <si>
    <t>A data mining technique to detect remote exploits</t>
  </si>
  <si>
    <t>Exclude, Cybersecurity/network intrusion, not marine</t>
  </si>
  <si>
    <t xml:space="preserve">Gambi, Maria Cristina; </t>
  </si>
  <si>
    <t>Lifestyle and DNA base composition in polychaetes</t>
  </si>
  <si>
    <t>Physiological Genomics</t>
  </si>
  <si>
    <t>Exclude, Genomics/evolutionary biology, no anomaly detection</t>
  </si>
  <si>
    <t xml:space="preserve">Ali, Sajid; Waleed, Muhammad; Lee, Daeyong; </t>
  </si>
  <si>
    <t>Reliability and sustainability of offshore wind turbine support structures in marine environments: a comprehensive review of failures, monitoring technologies, robotics, and predictive O&amp;M</t>
  </si>
  <si>
    <t>Exclude, Engineering structural reliability, not ecological</t>
  </si>
  <si>
    <t xml:space="preserve">Guabloche, Angélica; </t>
  </si>
  <si>
    <t>Imposex en el caracol marino Xanthochorus buxea (Broderip, 1833)(Muricidae) del Pacífico Sudamericano</t>
  </si>
  <si>
    <t>The biologist</t>
  </si>
  <si>
    <t>Exclude, Pollution/contamination biology study, no anomaly detection method</t>
  </si>
  <si>
    <t xml:space="preserve">Uddin, Mohammed Sakib; Mitra, Bijoy; Mahmud, Khaled; Rahman, Syed Masiur; Rahman, Muhammad Muhitur; Rahman, Mohammad Shahedur; </t>
  </si>
  <si>
    <t>High-Resolution CDOM Mapping in the Bay of Bengal Using Bayesian-Optimized Ensemble ML and Sentinel-3 Imagery</t>
  </si>
  <si>
    <t>International Conference on Water and Environmental Engineering</t>
  </si>
  <si>
    <t>469-481</t>
  </si>
  <si>
    <t xml:space="preserve">Chilvers, Louise; </t>
  </si>
  <si>
    <t>Variability in the diet of New Zealand sea lion (Phocarctos hookeri) at the Auckland Islands, New Zealand</t>
  </si>
  <si>
    <t>Marine Mammal…</t>
  </si>
  <si>
    <t>Exclude, Diet analysis, no aomaly detection</t>
  </si>
  <si>
    <t xml:space="preserve">ÖCAL, Melda MERAL; YALÇIN, İlkcan; TEKDAL, Dilek; </t>
  </si>
  <si>
    <t xml:space="preserve">Jamili, S; </t>
  </si>
  <si>
    <t>Distribution pattern of coral &amp; non coralline fish larvae</t>
  </si>
  <si>
    <t xml:space="preserve">Zabala, Wilmer; </t>
  </si>
  <si>
    <t>Genetic variation of 15 STR autosomal loci in the Maracaibo population from Venezuela</t>
  </si>
  <si>
    <t>Forensic Science International</t>
  </si>
  <si>
    <t>Exclude, human genetics</t>
  </si>
  <si>
    <t xml:space="preserve">Browman, Howard; </t>
  </si>
  <si>
    <t>Distribution and habitat preferences of five species of wrasse (Family Labridae) in a Norwegian fjord</t>
  </si>
  <si>
    <t>Exclude, Habitat preference survey, no anomaly detection</t>
  </si>
  <si>
    <t xml:space="preserve">Danquah, Emmanuel; </t>
  </si>
  <si>
    <t>Odonata assemblages along an anthropogenic disturbance gradient in Ghana’s Eastern Region</t>
  </si>
  <si>
    <t>Odonatologica</t>
  </si>
  <si>
    <t>Exclude, Terrestrial dragonfly ecology, not marine</t>
  </si>
  <si>
    <t xml:space="preserve">Mugaviri, Blessing; Aliki, Alton; Nyamupingidza, Bianca; Mwedzi, Tongayi; Utete, Beaven; Bere, Taurai; </t>
  </si>
  <si>
    <t>Effects of thermal regime variability on adult rainbow trout (Oncorhynchus mykiss) mortality in Afromontane river systems</t>
  </si>
  <si>
    <t>Environmental Monitoring and Assessment</t>
  </si>
  <si>
    <t>Date of acceptance Grade Instructors Teemu Roos (University of Helsinki), Allan Tucker (Brunel University) Modelling the Baltic Sea food web with a Dynamic Bayesian Network with hidden variables</t>
  </si>
  <si>
    <t>Exclude, Food web modelling thesis, anomaly detection appears only in citations</t>
  </si>
  <si>
    <t xml:space="preserve">Robin, Ninon; </t>
  </si>
  <si>
    <t>Fossil Gastropods (? Aclis aenigmaticus n. sp.) on a fish from the Pesciara of Bolca Lagerstätte (Eocene, Northern Italy): an enigmatic association</t>
  </si>
  <si>
    <t>Exclude, Paleontology</t>
  </si>
  <si>
    <t xml:space="preserve">Zajaczkowski, Marek; </t>
  </si>
  <si>
    <t>Wlodarska-Kowalczyk et al 2013 Do foraminifera mirror diversity</t>
  </si>
  <si>
    <t>Exclude, Foraminifera diversity</t>
  </si>
  <si>
    <t xml:space="preserve">An, Dong; Huang, Jinze; Wei, Yaoguang; </t>
  </si>
  <si>
    <t>A survey of fish behaviour quantification indexes and methods in aquaculture</t>
  </si>
  <si>
    <t>2169-2189</t>
  </si>
  <si>
    <t>Exclude, General methods survey, no anomaly detection focus</t>
  </si>
  <si>
    <t xml:space="preserve">Qureshi, Yasser M; </t>
  </si>
  <si>
    <t>Explainable artificial intelligence for analysing mosquito flight behaviour</t>
  </si>
  <si>
    <t>University of Warwick</t>
  </si>
  <si>
    <t>Exclude, Mosquito/hydrological drought, not marine</t>
  </si>
  <si>
    <t xml:space="preserve">Vanreusel, Ann; Arbizu, Pedro Martínez; Yasuhara, Moriaki; </t>
  </si>
  <si>
    <t>Marine meiofauna diversity and biogeography—Paradigms and challenges</t>
  </si>
  <si>
    <t>New Horizons in Meiobenthos Research: Profiles, Patterns and Potentials</t>
  </si>
  <si>
    <t>121-151</t>
  </si>
  <si>
    <t>Exclude, Biodiversity/biogeography review, no anomaly detection</t>
  </si>
  <si>
    <t xml:space="preserve">Calbet, Albert; </t>
  </si>
  <si>
    <t>Resources and Further Reading</t>
  </si>
  <si>
    <t>The Amateur Plankton Researcher's Practical Guide: How to Study Plankton at Home</t>
  </si>
  <si>
    <t>75-78</t>
  </si>
  <si>
    <t>Exclude, Reference/outreach list, not a study</t>
  </si>
  <si>
    <t xml:space="preserve">Jawad, Laith; </t>
  </si>
  <si>
    <t>Morphometric and meristic characters of two cichlids, Coptodon zillii and Oreochromis aureus collected from Shatt al-Arab River, Basrah, Iraq</t>
  </si>
  <si>
    <t>International Journal of Marine Science</t>
  </si>
  <si>
    <t xml:space="preserve">Jumars, Peter A; Yager, Patricia L; Nowell, Arthur RM; </t>
  </si>
  <si>
    <t>Enhanced deposition to pits: a local food source for benthos</t>
  </si>
  <si>
    <t>Journal of Marine Research</t>
  </si>
  <si>
    <t>209-236</t>
  </si>
  <si>
    <t xml:space="preserve">Exclude, fluid dynamics </t>
  </si>
  <si>
    <t xml:space="preserve">Fonda, Serena; </t>
  </si>
  <si>
    <t>Solidoro et al.-2007-Understanding dynamic of biogeochemical properties</t>
  </si>
  <si>
    <t>Exclude, Biogeochemical classification, no anomaly detection apparent</t>
  </si>
  <si>
    <t xml:space="preserve">Flores-de-Santiago, Francisco; Rodríguez-Sobreyra, Ranulfo; Moroyoqui-Rojo, Leonardo; López-Adame, Haydée; Pérez-Ceballos, Rosela; Valderrama-Landeros, Luis; Flores-Verdugo, Francisco; </t>
  </si>
  <si>
    <t>Hydrological and environmental drivers of fringe red mangrove (Rhizophora mangle) distribution: implications for rehabilitation strategies in a degraded semiarid coastal lagoon</t>
  </si>
  <si>
    <t>Wetlands Ecology and Management</t>
  </si>
  <si>
    <t>Exclude, Mangrove hydrology/distribution, no anomaly detection</t>
  </si>
  <si>
    <t xml:space="preserve">Nizetic, Marijo; </t>
  </si>
  <si>
    <t>Ergodicity of the Communication Management Processes</t>
  </si>
  <si>
    <t>Exclude, IoV security/communications, not marine</t>
  </si>
  <si>
    <t xml:space="preserve">Kaljuste, Olavi; </t>
  </si>
  <si>
    <t>Increases of opportunistic species in response to ecosystem change: the case of the Baltic Sea three-spined stickleback</t>
  </si>
  <si>
    <t>Exclude, population ecology review, no anomaly detection
opulation ecology review, no anomaly detection</t>
  </si>
  <si>
    <t xml:space="preserve">Filder, Mbita; </t>
  </si>
  <si>
    <t>Application of seasonal autoregressive moving average models to analysis and forecasting of time series monthly rainfall patterns in Embu County, Kenya</t>
  </si>
  <si>
    <t>Asian Journal of Probability and Statistics</t>
  </si>
  <si>
    <t>Exclude, Terrestrial rainfall forecasting, not marine</t>
  </si>
  <si>
    <t xml:space="preserve">Heijmink, Ida; </t>
  </si>
  <si>
    <t>Acoustic Individual Identification of the Common Guillemot (Uria aalge)</t>
  </si>
  <si>
    <t>Master's Theses in Mathematical Sciences</t>
  </si>
  <si>
    <t xml:space="preserve">Zervoudaki, S; </t>
  </si>
  <si>
    <t>Converting copepod vital rates into units appropriate for biogeochemical models</t>
  </si>
  <si>
    <t xml:space="preserve">Williams, Richard; Kratina, Pavel; Gaedke, Ursula; Petchey, Owen L; Ward, Colette L; Palamara, Gian Marco; Munch, Stephan B; Novák, Márk; Garland, Joshua; Rall, Björn C; </t>
  </si>
  <si>
    <t>The intrinsic predictability of ecological time series and its potential to guide forecasting</t>
  </si>
  <si>
    <t>Exclude, forecasting theory not anomaly detection</t>
  </si>
  <si>
    <t xml:space="preserve">Hu, Bing; Wu, Yi; </t>
  </si>
  <si>
    <t>Unlocking causal relationships in commercial banking risk management: an examination of explainable ai integration with multi-factor risk models</t>
  </si>
  <si>
    <t>Journal of Financial Risk Management</t>
  </si>
  <si>
    <t>262-274</t>
  </si>
  <si>
    <t>Exclude, banking not marine ecology</t>
  </si>
  <si>
    <t xml:space="preserve">Gracia, Adolfo; </t>
  </si>
  <si>
    <t>Figure 3 from: Ramírez JM, Vázquez-Bader AR, Gracia A (2019) Ichthyofaunal list of the continental slope of the southern Gulf of Mexico. ZooKeys 846: 117-132. https://doi. org/10.3897/zookeys. 846.31944</t>
  </si>
  <si>
    <t>Exclude, figure not study</t>
  </si>
  <si>
    <t xml:space="preserve">Ronström, Owe; </t>
  </si>
  <si>
    <t>Heritage history–the Swedish Way</t>
  </si>
  <si>
    <t xml:space="preserve">Beukhof, Esther D; Uhlmann, Sven Sebastian; Van Der Reijden, Karin J; Anastasopoulou, Aikaterini; Altuna-Etxabe, Miren; Astarloa, Amaia; Basurko, Oihane C; Binch, Logan; Bluemel, Joanna K; Carbonara, Pierluigi; </t>
  </si>
  <si>
    <t>From bycatch to litter: a systematic map of the ecological impacts of fishing in European seas</t>
  </si>
  <si>
    <t>Reviews in Fish Biology and Fisheries</t>
  </si>
  <si>
    <t xml:space="preserve">Morgan, Eric J; Lavric, Jost V; Arévalo-Martínez, Damian L; Bange, Hermann W; Steinhoff, Tobias; </t>
  </si>
  <si>
    <t>Thomas Seifert1, and Martin Heimann1, 3 1Biogeochemical Systems Department, Max Planck Institute for Biogeochemistry, Jena, Germany 2GEOMAR Helmholtz Centre for Ocean Research, Kiel, Germany 3Institute for Atmospheric and Earth System Research (INAR)/Physics, University of Helsinki, Helsinki, Finland anow at: Scripps Institution of Oceanography, University of California, San Diego, La Jolla, CA, USA</t>
  </si>
  <si>
    <t xml:space="preserve">Costa, Marcilia; Simões-lopes, Paulo; </t>
  </si>
  <si>
    <t>Distribution and habitat characteristics of dolphins of the genus Stenella (Cetacea: Delphinidae) in the southwest Atlantic Ocean</t>
  </si>
  <si>
    <t>Exclude, Habitat distribution study, no anomaly detection</t>
  </si>
  <si>
    <t xml:space="preserve">Shujun, Li; Ke, Zheng; Ping, Tang; Lianzhi, Huo; Yuan, Yuan; </t>
  </si>
  <si>
    <t>Forest burned area detection with time series data based on Stacked ConvLSTM</t>
  </si>
  <si>
    <t>National Remote Sensing Bulletin</t>
  </si>
  <si>
    <t>1976-1987</t>
  </si>
  <si>
    <t>Exclude, Terrestrial forest fire detection, not marine</t>
  </si>
  <si>
    <t xml:space="preserve">Mozumder, MD Ariful Islam; </t>
  </si>
  <si>
    <t>Empowering Home Security Through Wall Crossing Activity Detection Using Vision Cameras and Convolutional Long Short-Term Architecture</t>
  </si>
  <si>
    <t>IEEE Sensor</t>
  </si>
  <si>
    <t>Exclude, home security not marine ecology</t>
  </si>
  <si>
    <t xml:space="preserve">Lang, Sarah E; Luis, Kelly MA; Doney, Scott C; Cronin‐Golomb, Olivia; Castorani, Max CN; </t>
  </si>
  <si>
    <t>Modeling coastal water clarity using Landsat‐8 and Sentinel‐2</t>
  </si>
  <si>
    <t>Earth and Space Science</t>
  </si>
  <si>
    <t>e2022EA002579</t>
  </si>
  <si>
    <t>Exclude, Water clarity modelling, no anomaly detection apparent</t>
  </si>
  <si>
    <t xml:space="preserve">Sutela, Tapio; Vehanen, Teppo; Jounela, Pekka; </t>
  </si>
  <si>
    <t>Longitudinal patterns of fish assemblages in European boreal streams</t>
  </si>
  <si>
    <t>Hydrobiologia</t>
  </si>
  <si>
    <t>3277-3290</t>
  </si>
  <si>
    <t xml:space="preserve">Veerasingam, S; Vinothini, V; Ranjani, M; Mohammad, Rania Edrees Adam; Suresh, G; Rajendran, S; Sadasivuni, Kishor Kumar; Ghani, Saud; Al-Khayat, Fatima; </t>
  </si>
  <si>
    <t>Risk assessment of radionuclides in different environmental matrices in the State of Qatar, Arabian Gulf</t>
  </si>
  <si>
    <t>Environmental Geochemistry and Health</t>
  </si>
  <si>
    <t>Exclude, Radioactivity risk assessment, not ecological anomaly detection</t>
  </si>
  <si>
    <t xml:space="preserve">Ciaghi, Stefan; Hittorf, Michaela; Murúa, Pedro; Garvetto, Andrea; Kirchmair, Martín; Harikrishnan, Srilakshmy L; Burns, John A; Gachon, Claire MM; Salvenmoser, Willibald; Neuhauser, Sigrid; </t>
  </si>
  <si>
    <t>Phagocytosis underpins the biotrophic lifestyle of intracellular parasites in the class Phytomyxea (Rhizaria)</t>
  </si>
  <si>
    <t>bioRxiv (Cold Spring Harbor Laboratory)</t>
  </si>
  <si>
    <t>Exclude, Cell biology/parasitology, no anomaly detection method</t>
  </si>
  <si>
    <t xml:space="preserve">Lazreg, Houssem Ben; </t>
  </si>
  <si>
    <t>" ISIS: The State of Terror" by Jessica Stern and JM Berger Review by Houssem Ben Lazreg</t>
  </si>
  <si>
    <t xml:space="preserve">de Almeida, José Augusto Costa; </t>
  </si>
  <si>
    <t>Moluscos da Formação Romualdo, Aptiano-Albiano, Bacia do Araripe, nordeste do Brasil</t>
  </si>
  <si>
    <t>Boletim do Museu Paraense Emílio Goeldi-Ciências Naturais</t>
  </si>
  <si>
    <t>Exclude, Not English &amp; Paleontology, no anomaly detection</t>
  </si>
  <si>
    <t xml:space="preserve">Zhao, Yanan; Schlundt, Cathleen; Booge, Dennis; Bange, Hermann W; </t>
  </si>
  <si>
    <t>A decade of dissolved sulphur compounds measurements in the southwestern Baltic Sea</t>
  </si>
  <si>
    <t xml:space="preserve">Exclude, Chemical measurement study with anomaly detection reference </t>
  </si>
  <si>
    <t xml:space="preserve">SULIANTA, FERI; </t>
  </si>
  <si>
    <t>PENERAPAN METODE APRIORI UNTUK IDENTIFIKASI POLA DATA TRANSAKSI PADA CUSTOMER DI SUPERMARKET</t>
  </si>
  <si>
    <t>Exclude, not English &amp; Retail transaction data mining, not marine</t>
  </si>
  <si>
    <t xml:space="preserve">Rousso, Benny Zuse; Bertone, Edoardo; Stewart, Rodney A; Hughes, Sara P; Hobson, Peter; Hamilton, David P; </t>
  </si>
  <si>
    <t>Cyanobacteria species dominance and diversity in three Australian drinking water reservoirs</t>
  </si>
  <si>
    <t>1453-1469</t>
  </si>
  <si>
    <t>Exclude, freshater not marine</t>
  </si>
  <si>
    <t xml:space="preserve">Zhang, Yuqing; Zhou, Yongzhang; Niu, Lujia; Guo, Yijia; </t>
  </si>
  <si>
    <t>A global systematic review of land subsidence drivers, technologies, and future directions from monitoring to intelligence</t>
  </si>
  <si>
    <t>Discover Geoscience</t>
  </si>
  <si>
    <t xml:space="preserve">Tiwary, Gyanendra; </t>
  </si>
  <si>
    <t>Video based deep CNN model for depression detection</t>
  </si>
  <si>
    <t>International Journal on Recent and Innovation Trends in Computing and Communication</t>
  </si>
  <si>
    <t>Exclude, Human mental health, not marine</t>
  </si>
  <si>
    <t xml:space="preserve">Rattenborg, Niels Christian; McKee, Jennifer L; Pichegru, Lorien; Lerma, Miriam; Nourani, Elham; Santos, Carlos David; Weimerskirch, Henri; Fell, Adam; Grémillet, David; Provost, Pascal; </t>
  </si>
  <si>
    <t>Seabird morphology determines operational wind speeds, tolerable maxima and responses to extremes</t>
  </si>
  <si>
    <t>Exclude, Flight biomechanics study, no anomaly detection method</t>
  </si>
  <si>
    <t xml:space="preserve">Laffitte, Jose M Fedriani; Moreno, Sacramento; Penteriani, Vincenzo; </t>
  </si>
  <si>
    <t>Responses of a top and a meso predator and their prey to moon phases</t>
  </si>
  <si>
    <t xml:space="preserve">Melhuish, Chris; </t>
  </si>
  <si>
    <t>The BERT2 infrastructure: An integrated system for the study of human-robot interaction</t>
  </si>
  <si>
    <t>2010 10th IEEE-RAS International Conference on Humanoid Robots</t>
  </si>
  <si>
    <t xml:space="preserve">Alexander, Michael A; </t>
  </si>
  <si>
    <t>Projecting ocean acidification impacts for the Gulf of Maine to 2050</t>
  </si>
  <si>
    <t>Elementa: Science of the Anthropocene</t>
  </si>
  <si>
    <t>Exclude, Acidification projection, no anomaly detection</t>
  </si>
  <si>
    <t xml:space="preserve">Brown, Nathaniel; Simske, Steven; </t>
  </si>
  <si>
    <t>Detecting defects in sequential inputs to digital twins using machine learning</t>
  </si>
  <si>
    <t>IEEE Open Journal of Systems Engineering</t>
  </si>
  <si>
    <t>179-189</t>
  </si>
  <si>
    <t>Exclude, Generic modelling/simulation defect detection, not marine</t>
  </si>
  <si>
    <t xml:space="preserve">Beddiar, Djamila Romaissa; Rahimi, Parham; Azmat, Usman; Ivanov, Andrei; Orabe, Zoher; Airola, Antti; Kaisti, Matti; </t>
  </si>
  <si>
    <t>Efficient Edge AI Inference: A Literature Review</t>
  </si>
  <si>
    <t>Available at SSRN 6359018</t>
  </si>
  <si>
    <t xml:space="preserve">De Francesco, Maria Carla; </t>
  </si>
  <si>
    <t>Not just a sandy beach. The multi-service value of Mediterranean coastal dunes</t>
  </si>
  <si>
    <t xml:space="preserve">Akoumianaki, Ioanna; </t>
  </si>
  <si>
    <t>Organic matter composition of the continental shelf and bathyal sediments of the Cretan Sea (NE Mediterranean</t>
  </si>
  <si>
    <t xml:space="preserve">Pronk, Tessa E; Yanagihara, Miina; Houtman, Corine J; Hoondert, Renske PJ; de Baat, Milo L; </t>
  </si>
  <si>
    <t>Screening for Chemical Compliance in Water Quality Monitoring with In Vitro Bioassays</t>
  </si>
  <si>
    <t>Environmental Science &amp; Technology Letters</t>
  </si>
  <si>
    <t>ACS Publications</t>
  </si>
  <si>
    <t xml:space="preserve">کریمی; کریمی; حاجی; شمشیری; موسوی; </t>
  </si>
  <si>
    <t>بررسی وجود چشمه‌های زیردریایی با به کارگیری تصاویر ماهواره‌ای و مطالعات بیلان آب، مطالعه موردی: تاقدیس نمک-کنگان منطقه خلیج فارس</t>
  </si>
  <si>
    <t>زمین شناسی کاربردی پیشرفته</t>
  </si>
  <si>
    <t>192-213</t>
  </si>
  <si>
    <t>دانشگاه شهید چمران اهواز</t>
  </si>
  <si>
    <t xml:space="preserve">Megahed, Aly; </t>
  </si>
  <si>
    <t>HealthAdvisor: Recommendation System for Wearable Technologies enabling Proactive Health Monitoring</t>
  </si>
  <si>
    <t xml:space="preserve">Scharwächter, Erik; </t>
  </si>
  <si>
    <t>Event Impact Analysis for Time Series Tests, Measures, and Models Dissertation zur Erlangung des Grades eines Doktors der Naturwissenschaften</t>
  </si>
  <si>
    <t>Statistics</t>
  </si>
  <si>
    <t>1285-1303</t>
  </si>
  <si>
    <t xml:space="preserve">Mailhol, J; </t>
  </si>
  <si>
    <t>Assessment and Modeling the Influence of Nitrogen Input in the Soil on Groundwater Nitrate Pollution: Plain of Upper-Cheliff</t>
  </si>
  <si>
    <t>Issue 4</t>
  </si>
  <si>
    <t>Exclude, not marine ecology and no anomaly detection</t>
  </si>
  <si>
    <t xml:space="preserve">Berlandi, Raquel Meihoub; Paiva, Paulo Cesar; </t>
  </si>
  <si>
    <t>PAIVA, PC; BERLANDI, RM; BRASIL, ACS. Phylum Annelida Class Polychaeta. In: Tâmega, FTS; Spotorno-Oliveira, P. &amp; Figueiredo, MAO (Org.). Catalogue of the benthic marine life from Peregrino oil field, Campos Basin, Brazil. 1eded. Rio de Janeiro: Instituto Biodiversidade Marinha,...</t>
  </si>
  <si>
    <t>Exclude, no anomaly dtection</t>
  </si>
  <si>
    <t xml:space="preserve">Neira, Jose Julian Salazar; </t>
  </si>
  <si>
    <t>Spatially-Informed Machine Learning for Augmented Subsurface Characterization, Modeling, and Interpretation</t>
  </si>
  <si>
    <t>The University of Texas at Austin</t>
  </si>
  <si>
    <t>Exclude, no ecological context but geology instead</t>
  </si>
  <si>
    <t xml:space="preserve">Mohapatra, Avaneesh; </t>
  </si>
  <si>
    <t>The implications of Artificial Intelligence (AI) on cybersecurity: A detailed review for multidomain industry</t>
  </si>
  <si>
    <t>World Journal of Advanced Research and Reviews</t>
  </si>
  <si>
    <t xml:space="preserve">Araujo, Moacyr; </t>
  </si>
  <si>
    <t>Alkalinity, inorganic carbon and CO2 flux variability during extreme rainfall years (2010-2011) in two polluted tropical estuaries NE Brazil</t>
  </si>
  <si>
    <t>Brazilian Journal of Oceanography</t>
  </si>
  <si>
    <t>Exclude, chemical oceanography and biogeochemistry study &amp; no anomalt detection</t>
  </si>
  <si>
    <t xml:space="preserve">Putri, Riskawati; Hidayani, Mesalina Tri; </t>
  </si>
  <si>
    <t>Morphometric characteristic of seagrass Thalassia hemprichii in the waters of Barrang Lompo island and Kodingareng Lompo island</t>
  </si>
  <si>
    <t>Akuatikisle: Jurnal Akuakultur, Pesisir dan Pulau-Pulau Kecil</t>
  </si>
  <si>
    <t>45-51</t>
  </si>
  <si>
    <t>Exclude, Morphometric survey, no anomaly detection</t>
  </si>
  <si>
    <t xml:space="preserve">Isaac, Mohan; </t>
  </si>
  <si>
    <t>Relevance and methods of training multipurpose health workers in delivery of basic mental health care</t>
  </si>
  <si>
    <t>Indian journal of psychiatry</t>
  </si>
  <si>
    <t xml:space="preserve">Wu, Jyun-Nai; </t>
  </si>
  <si>
    <t>Investigating Magmatic and Hydrothermal Processes at East Pacific Rise, 9 Degrees 50 Minutes N</t>
  </si>
  <si>
    <t>University of California, San Diego</t>
  </si>
  <si>
    <t xml:space="preserve">França, Helson; </t>
  </si>
  <si>
    <t>Intercom–Sociedade Brasileira de Estudos Interdisciplinares da Comunicação</t>
  </si>
  <si>
    <t xml:space="preserve">Exclude, not English </t>
  </si>
  <si>
    <t xml:space="preserve">Moheimani, Navid; </t>
  </si>
  <si>
    <t>Effect of different light spectra on the growth, productivity and composition of microalgae</t>
  </si>
  <si>
    <t xml:space="preserve">Toledo, Peter; </t>
  </si>
  <si>
    <t>Escamas de tubarões (Pisces: Chondrichthyes) da Formação Pirabas (Eomioceno), Pará, Brasil Shark scales (Pisces: Chondrichthyes) of Pirabas Formation (Eomiocen), Pará, Brazil</t>
  </si>
  <si>
    <t xml:space="preserve">Adasi, Grace Sintim; </t>
  </si>
  <si>
    <t>Couples and Roles: Issues of African Women</t>
  </si>
  <si>
    <t xml:space="preserve">Muhammad, Shabbir; </t>
  </si>
  <si>
    <t>A DFT study on the electronic and redox properties of [X 8 V 14 O 50] n-(X= Si IV, Ge IV, PV, and As V)</t>
  </si>
  <si>
    <t>Can J Chem</t>
  </si>
  <si>
    <t xml:space="preserve">Sunuwar, Tula Raj; </t>
  </si>
  <si>
    <t>Improving the Healthcare System through Health Technology Assessment A Case Study of Nepal</t>
  </si>
  <si>
    <t>Value in Health</t>
  </si>
  <si>
    <t>Exclude, not marine ecology, public health policy paper</t>
  </si>
  <si>
    <t xml:space="preserve">Organ, Michael; </t>
  </si>
  <si>
    <t>Conrad Martens &amp; the Picturesque: Precursor to Australian Impressionism</t>
  </si>
  <si>
    <t>Exclude, history &amp; cultural art study</t>
  </si>
  <si>
    <t xml:space="preserve">Shamsul, AB; </t>
  </si>
  <si>
    <t>A Multiethnic Perception through the Eyes of Students</t>
  </si>
  <si>
    <t>International Journal of Information and Education Technology</t>
  </si>
  <si>
    <t>Exclude, sociology &amp; educational psychology study</t>
  </si>
  <si>
    <t xml:space="preserve">Bader, David A; </t>
  </si>
  <si>
    <t>A novel FDTD application featuring OpenMP-MPI hybrid parallelization</t>
  </si>
  <si>
    <t>International Conference on Parallel Processing, 2004. ICPP 2004.</t>
  </si>
  <si>
    <t>Exclude, high performance computing (HPC) and computational electromagnetics study</t>
  </si>
  <si>
    <t xml:space="preserve">Pearson, Karl; </t>
  </si>
  <si>
    <t>VII. Mathematical contributions to the theory of evolution.—III. Regression, heredity, and panmixia</t>
  </si>
  <si>
    <t>Philosophical Transactions of the Royal Society of London. Series A, containing papers of a mathematical or physical character</t>
  </si>
  <si>
    <t>253-318</t>
  </si>
  <si>
    <t>The Royal Society London</t>
  </si>
  <si>
    <t>Exclude,  seminal historical mathematics and evolutionary biology paper</t>
  </si>
  <si>
    <t xml:space="preserve">Dimitrov, Georgi; </t>
  </si>
  <si>
    <t>The Adventures of the CVM in Bulgaria and Romania</t>
  </si>
  <si>
    <t>Exclude, political science paper</t>
  </si>
  <si>
    <t xml:space="preserve">Osial, Magdalena; </t>
  </si>
  <si>
    <t>From Mirrors to Free-Space Optical Communication—Historical Aspects in Data Transmission</t>
  </si>
  <si>
    <t>Exclude, history of technology &amp; telecommunications study</t>
  </si>
  <si>
    <t xml:space="preserve">Cross, Liam; </t>
  </si>
  <si>
    <t>Walking in My Shoes: Imagined Synchrony Improves Attitudes Towards Out-groups</t>
  </si>
  <si>
    <t>Psychological Studies</t>
  </si>
  <si>
    <t>Exclude, psychology</t>
  </si>
  <si>
    <t xml:space="preserve">DeVries, Dennis; </t>
  </si>
  <si>
    <t>Is density-dependent growth in young-of-the-year fishes a question of critical weight?</t>
  </si>
  <si>
    <t>Exclude, no anomaly detection (only mentioned generally)</t>
  </si>
  <si>
    <t xml:space="preserve">Chitarra, Walter; </t>
  </si>
  <si>
    <t>Putative new plant viruses associated with Plasmopara viticola‐infected grapevine samples</t>
  </si>
  <si>
    <t>Annals of Applied Biology</t>
  </si>
  <si>
    <t xml:space="preserve">HAMZA, ALI; </t>
  </si>
  <si>
    <t>Fatty and amino acids composition of Bactrocera zonata as affected by substerilizing and sterilizing doses of gamma radiation</t>
  </si>
  <si>
    <t>Journal of entomology and zoology studies</t>
  </si>
  <si>
    <t xml:space="preserve">Eggen, Trine; </t>
  </si>
  <si>
    <t>Testprogram for overskudds-og restmasser som planlegges brukt til tildekking av forurensede sedimenter</t>
  </si>
  <si>
    <t xml:space="preserve">DJI, Innocent AD É D É; </t>
  </si>
  <si>
    <t>DYNAMIQUE D'OFFRE DE FOURRAGES RELATIVE A L'ENVIRONNEMENT: FACTEURS EXPLICATIFS SUR LES MARCHES DU BENIN ET DU BURKINA FASO</t>
  </si>
  <si>
    <t xml:space="preserve">Jahanmir, Sara; </t>
  </si>
  <si>
    <t>Nova School of Business and Economics Universidade Nova de Lisboa THREE ESSAYS ON ENTREPRENEURSHIP AND INNOVATION: THE ROLE OF LATE ADOPTERS</t>
  </si>
  <si>
    <t xml:space="preserve">Rodrigues, Cristina Udelsmann; </t>
  </si>
  <si>
    <t>Organization and representation of informal workers in São Tomé and Príncipe: state agency and sectoral informal alternatives</t>
  </si>
  <si>
    <t>African Studies Quarterly</t>
  </si>
  <si>
    <t>Exclude, political science &amp; social paper</t>
  </si>
  <si>
    <t xml:space="preserve">Lebedev, Mikhail; </t>
  </si>
  <si>
    <t>BRAIN-MACHINE INTERFACE</t>
  </si>
  <si>
    <t>Computational Intelligence-Volume II</t>
  </si>
  <si>
    <t>EOLSS Publications</t>
  </si>
  <si>
    <t>Exclude, not marine ecology, neuroengineering</t>
  </si>
  <si>
    <t xml:space="preserve">Quinton, Paul; </t>
  </si>
  <si>
    <t>Police stops, decision-making and practice</t>
  </si>
  <si>
    <t>Police Research Series Paper</t>
  </si>
  <si>
    <t xml:space="preserve">Nguyen, Thi Nga; Phan, Anh Huy; Cao, Van Loi; Hiep, Pham Thanh; </t>
  </si>
  <si>
    <t>Reliable pilot search method for enhancing BER performance in underwater acoustic OFDM systems with MMSE estimator</t>
  </si>
  <si>
    <t>International journal of wireless information networks</t>
  </si>
  <si>
    <t>84-95</t>
  </si>
  <si>
    <t xml:space="preserve">Yoder, Noa; </t>
  </si>
  <si>
    <t>Autonomous Tracking of Salinity-Intrusion Fronts by a Long-Range Autonomous Underwater Vehicle</t>
  </si>
  <si>
    <t>IEEE Journal of Oceanic Engineering</t>
  </si>
  <si>
    <t xml:space="preserve">Yentsch, Anne E; </t>
  </si>
  <si>
    <t>Marine and estuarine environments, organisms, and geology of the Cape Cod region; an indexed bibliography, 1665-1965 [by] Anne E. Yentsch [and others.</t>
  </si>
  <si>
    <t>Exclude, historical index not marine ecology study</t>
  </si>
  <si>
    <t>Scopus1</t>
  </si>
  <si>
    <t>x</t>
  </si>
  <si>
    <t>Clean Title1</t>
  </si>
  <si>
    <t>Author full names</t>
  </si>
  <si>
    <t>Author(s) ID</t>
  </si>
  <si>
    <t>Source title</t>
  </si>
  <si>
    <t>Issue</t>
  </si>
  <si>
    <t>Art. No.</t>
  </si>
  <si>
    <t>DOI</t>
  </si>
  <si>
    <t>Ioras F.; Bandara I.</t>
  </si>
  <si>
    <t>Artificial Intelligence and Sustainable Practices in Coastal Marinas: A Comparative Study of Monaco and Ibiza</t>
  </si>
  <si>
    <t>Ioras, Florin (6507378119); Bandara, Indrachapa (57201293296)</t>
  </si>
  <si>
    <t>6507378119; 57201293296</t>
  </si>
  <si>
    <t>Sustainability (Switzerland)</t>
  </si>
  <si>
    <t>10.3390/su17167404</t>
  </si>
  <si>
    <t>Exclude, marina management/sustainability, not ecological anomaly detection</t>
  </si>
  <si>
    <t>Menelaou A.; Makrominas M.; Plomaritou E.; Hein C.</t>
  </si>
  <si>
    <t>Recalibrating Coastal and Marine Environmental Governance Through Integrated Data Infrastructures: The EMMERA Platform</t>
  </si>
  <si>
    <t>Menelaou, Angelos (55574755300); Makrominas, Michalis (56502169000); Plomaritou, Evi (26428921700); Hein, Carola (7004099379)</t>
  </si>
  <si>
    <t>55574755300; 56502169000; 26428921700; 7004099379</t>
  </si>
  <si>
    <t>10.3390/su18147144</t>
  </si>
  <si>
    <t>Ding Y.; Lin M.</t>
  </si>
  <si>
    <t>Precision aquaculture strategies under the integration of intelligent monitoring and digital twin</t>
  </si>
  <si>
    <t>Ding, Yu (59995403900); Lin, Mu (57216282494)</t>
  </si>
  <si>
    <t>59995403900; 57216282494</t>
  </si>
  <si>
    <t>Proceedings of SPIE - The International Society for Optical Engineering</t>
  </si>
  <si>
    <t>136823G</t>
  </si>
  <si>
    <t>10.1117/12.3075620</t>
  </si>
  <si>
    <t>Exclude, aquaculture operations/production, not ecological anomaly focus</t>
  </si>
  <si>
    <t>Du L.; Liu M.; Lv Z.; Tan C.; He J.; Yu F.</t>
  </si>
  <si>
    <t>An End-to-End Ocean Environmental Noise Anomaly Detection Framework Combining Time–Frequency Information and Expert Gating</t>
  </si>
  <si>
    <t>Du, Libin (52963462000); Liu, Mingyang (57219182845); Lv, Zhichao (57190188809); Tan, Chuanhe (59524584000); He, Junkai (59524691700); Yu, Fei (57208664550)</t>
  </si>
  <si>
    <t>52963462000; 57219182845; 57190188809; 59524584000; 59524691700; 57208664550</t>
  </si>
  <si>
    <t>10.3390/jmse13010141</t>
  </si>
  <si>
    <t>Exclude, engineering/noise optimisation, not ecological focus</t>
  </si>
  <si>
    <t>Jin S.; Ma Y.; Gong W.; Ye Z.; Xia X.</t>
  </si>
  <si>
    <t>Cloud detection for FY-3D MERSI Ⅱ images combine radiative transfer simulation and shallow neural network; [结合辐射传输模拟与浅层神经网络的 FY-3D MERSI 影像云识别]</t>
  </si>
  <si>
    <t>Jin, Shikuan (57204877833); Ma, Yingying (55535058500); Gong, Wei (15051249600); Ye, Zhiwei (12773366800); Xia, Xiaoyu (57457121900)</t>
  </si>
  <si>
    <t>57204877833; 55535058500; 15051249600; 12773366800; 57457121900</t>
  </si>
  <si>
    <t>10.11834/jrs.20210406</t>
  </si>
  <si>
    <t xml:space="preserve">Exclude, atmospheric/cloud etection,  not ecological </t>
  </si>
  <si>
    <t>Keerthiga K.; Jolin Ashika J.; Narmadha M.</t>
  </si>
  <si>
    <t>Next-Gen Maritime Security by Leveraging Advanced AIS Analytics for Precision Detection and Monitoring of Boats in Ocean</t>
  </si>
  <si>
    <t>Keerthiga, K. (58107426400); Jolin Ashika, J. (59348342100); Narmadha, M. (58106444200)</t>
  </si>
  <si>
    <t>58107426400; 59348342100; 58106444200</t>
  </si>
  <si>
    <t>2024 3rd International Conference on Smart Technologies and Systems for Next Generation Computing, ICSTSN 2024</t>
  </si>
  <si>
    <t>10.1109/ICSTSN61422.2024.10671165</t>
  </si>
  <si>
    <t>Exclude, maritime security/vessel tracking, not ecological</t>
  </si>
  <si>
    <t>Panteli E.; Santos P.; Humphrey N.</t>
  </si>
  <si>
    <t>Signal Beneath the Surface: A Deep Learning Pipeline for Marine Acoustic Intelligence</t>
  </si>
  <si>
    <t>Panteli, Eirini (59935190400); Santos, Paulo E. (8665449700); Humphrey, Nabil (57423439500)</t>
  </si>
  <si>
    <t>59935190400; 8665449700; 57423439500</t>
  </si>
  <si>
    <t>Lecture Notes in Computer Science</t>
  </si>
  <si>
    <t>16370 LNAI</t>
  </si>
  <si>
    <t>10.1007/978-981-95-4969-6_32</t>
  </si>
  <si>
    <t>Exclude, vessel sound classification, not ecological focus</t>
  </si>
  <si>
    <t>Wu Q.; Kang X.; Wang Z.; Duan P.; Li S.</t>
  </si>
  <si>
    <t>UNSUPERVISED DETECTION OF RED TIDES IN SATELLITE IMAGERY BASED ON SPATIAL-SPECTRAL INFORMATION FUSION</t>
  </si>
  <si>
    <t>Wu, Qiong (58558620500); Kang, Xudong (47061561600); Wang, Zihao (57202792133); Duan, Puhong (57188576823); Li, Shutao (7409240361)</t>
  </si>
  <si>
    <t>58558620500; 47061561600; 57202792133; 57188576823; 7409240361</t>
  </si>
  <si>
    <t xml:space="preserve">International Geoscience and Remote Sensing Symposium (IGARSS)  </t>
  </si>
  <si>
    <t>10.1109/IGARSS55030.2025.11242303</t>
  </si>
  <si>
    <t>PubMed1</t>
  </si>
  <si>
    <t>Using teacher-student neural networks based on knowledge distillation to detect anomalous samples in the otolith images</t>
  </si>
  <si>
    <t>Chen Y, Zhu G.</t>
  </si>
  <si>
    <t>Zoology (Jena). 2023 Dec;161:126133. doi: 10.1016/j.zool.2023.126133. Epub 2023 Nov 7.</t>
  </si>
  <si>
    <t>Chen Y</t>
  </si>
  <si>
    <t>Zoology (Jena)</t>
  </si>
  <si>
    <t>RamEx: an R package for high-throughput microbial ramanome analyses with accurate quality assessment</t>
  </si>
  <si>
    <t>Zhang Y, Jing G, Chen R, Gong Y, Li Y, Wang Y, Wang X, Zhang J, Mao Y, He Y, Zheng X, Wang M, Yuan H, Xu J, Sun L.</t>
  </si>
  <si>
    <t>Microbiome. 2026 Feb 10;14(1):89. doi: 10.1186/s40168-026-02339-3.</t>
  </si>
  <si>
    <t>Zhang Y</t>
  </si>
  <si>
    <t>Microbiome</t>
  </si>
  <si>
    <t>PMC12990539</t>
  </si>
  <si>
    <t>Exclude, microbial spectroscopy quality control, not marine ecology</t>
  </si>
  <si>
    <t>PhyloRef: A Semi-Automated Workflow for eDNA Reference Database Curation via Phylogenetic Anomaly Detection</t>
  </si>
  <si>
    <t>Mai Y, Li C.</t>
  </si>
  <si>
    <t>Ecol Evol. 2026 Feb 26;16(3):e73159. doi: 10.1002/ece3.73159. eCollection 2026 Mar.</t>
  </si>
  <si>
    <t>Mai Y</t>
  </si>
  <si>
    <t>Ecol Evol</t>
  </si>
  <si>
    <t>PMC12946455</t>
  </si>
  <si>
    <t>Exclude, reference database curation tool, not ecological event/behaviour detection</t>
  </si>
  <si>
    <t>WOS1</t>
  </si>
  <si>
    <t>Article Title</t>
  </si>
  <si>
    <t>Cleaned Title1</t>
  </si>
  <si>
    <t>Source Title</t>
  </si>
  <si>
    <t>Book Series Title</t>
  </si>
  <si>
    <t>Book Series Subtitle</t>
  </si>
  <si>
    <t>Language</t>
  </si>
  <si>
    <t>Document Type</t>
  </si>
  <si>
    <t>Conference Title</t>
  </si>
  <si>
    <t>Conference Date</t>
  </si>
  <si>
    <t>Peng, M; Song, X; Zuo, QY; Xu, SY; Yue, Y</t>
  </si>
  <si>
    <t>HPL-CLIP: hyperbolic prompt learning for zero-shot anomaly detection</t>
  </si>
  <si>
    <t>MEASUREMENT SCIENCE AND TECHNOLOGY</t>
  </si>
  <si>
    <t/>
  </si>
  <si>
    <t>10.1088/1361-6501/ae8713</t>
  </si>
  <si>
    <t>Exclude, industrial manufacturing not marine ecology</t>
  </si>
  <si>
    <t>Song, MP; Guo, ZY; Li, L; Liu, SH; Bao, HM; Li, JK</t>
  </si>
  <si>
    <t>Global Information and Structure Tensor Guided Collaborative Representation for Anomaly Detection</t>
  </si>
  <si>
    <t>IEEE JOURNAL OF SELECTED TOPICS IN APPLIED EARTH OBSERVATIONS AND REMOTE SENSING</t>
  </si>
  <si>
    <t>10.1109/JSTARS.2024.3506116</t>
  </si>
  <si>
    <t>Exclude, generic hyperspectral target detection, no marine/ecological focus</t>
  </si>
  <si>
    <t>Siddagangaiah, S</t>
  </si>
  <si>
    <t>Marine soundscape forecasting: A deep learning-based approach</t>
  </si>
  <si>
    <t>ECOLOGICAL INFORMATICS</t>
  </si>
  <si>
    <t>10.1016/j.ecoinf.2025.103189</t>
  </si>
  <si>
    <t>Staples, TL; Blois, J; Cramer, KL; Cunningham, ET; Dornelas, M; Haberle, SG; Heger, T; Kiessling, W; Magurran, AE; O'Dea, A; Penny, AM; Radeloff, VC; Smith, JA; Thuiller, W; Williams, JW; Pandolfi, JM</t>
  </si>
  <si>
    <t>A Conceptual Framework for Measuring Ecological Novelty</t>
  </si>
  <si>
    <t>GLOBAL ECOLOGY AND BIOGEOGRAPHY</t>
  </si>
  <si>
    <t>10.1111/geb.70005</t>
  </si>
  <si>
    <t>Exclude, terrestrial pollen assemblages, not marine</t>
  </si>
  <si>
    <t>Zaza, S; Atemkeng, M; Murray, TS; Filmalter, JD; Cowley, PD</t>
  </si>
  <si>
    <t>Unsupervised-explainable anomaly detection in large-scale estuarine acoustic telemetry data</t>
  </si>
  <si>
    <t>10.1016/j.ecoinf.2026.103672</t>
  </si>
  <si>
    <t>Bilik, S; Batrakhanov, D; Eerola, T; Haraguchi, L; Kraft, K; Van den Wyngaert, S; Kangas, J; Sjöqvist, C; Madsen, K; Lensu, L; Kälviäinen, H; Horak, K</t>
  </si>
  <si>
    <t>Toward phytoplankton parasite detection using autoencoders</t>
  </si>
  <si>
    <t>MACHINE VISION AND APPLICATIONS</t>
  </si>
  <si>
    <t>10.1007/s00138-023-01450-x</t>
  </si>
  <si>
    <t>Syue, SH; Tsou, MC; Chen, TH</t>
  </si>
  <si>
    <t>From VTS Monitoring to Smart Warnings: Big Data Applications in Channel Safety Management</t>
  </si>
  <si>
    <t>JOURNAL OF MARINE SCIENCE AND ENGINEERING</t>
  </si>
  <si>
    <t>10.3390/jmse13122324</t>
  </si>
  <si>
    <t>Exclude, maritime vessel traffic/port safety not ecology</t>
  </si>
  <si>
    <t>Mori, N; Kawatsu, K; Noriyuki, S; Kosilov, A; Martemyanov, V; Yamashita, M; Inoue, MN</t>
  </si>
  <si>
    <t>Monitoring and prediction of the spongy moth ( Lymantria dispar ) outbreaks in Mountain ' s landscape using a combination of Sentinel-2 images and nonlinear time series model</t>
  </si>
  <si>
    <t>FOREST ECOLOGY AND MANAGEMENT</t>
  </si>
  <si>
    <t>10.1016/j.foreco.2024.121975</t>
  </si>
  <si>
    <t>Exclude, terrestrial forest pest focus, not marine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</si>
</sst>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
    <numFmt numFmtId="165" formatCode="yyyy/m/d"/>
    <numFmt numFmtId="166" formatCode="yyyy/mm/dd"/>
  </numFmts>
  <fonts count="5">
    <font>
      <sz val="10.0"/>
      <color rgb="FF000000"/>
      <name val="Arial"/>
      <scheme val="minor"/>
    </font>
    <font>
      <color theme="1"/>
      <name val="Arial"/>
      <scheme val="minor"/>
    </font>
    <font>
      <color theme="1"/>
      <name val="Arial"/>
    </font>
    <font>
      <u/>
      <color rgb="FF1155CC"/>
      <name val="Arial"/>
    </font>
    <font>
      <u/>
      <color rgb="FF0000FF"/>
      <name val="Arial"/>
    </font>
  </fonts>
  <fills count="5">
    <fill>
      <patternFill patternType="none"/>
    </fill>
    <fill>
      <patternFill patternType="lightGray"/>
    </fill>
    <fill>
      <patternFill patternType="solid">
        <fgColor rgb="FF00FF00"/>
        <bgColor rgb="FF00FF00"/>
      </patternFill>
    </fill>
    <fill>
      <patternFill patternType="solid">
        <fgColor rgb="FFFFFFFF"/>
        <bgColor rgb="FFFFFFFF"/>
      </patternFill>
    </fill>
    <fill>
      <patternFill patternType="solid">
        <fgColor rgb="FFFF0000"/>
        <bgColor rgb="FFFF0000"/>
      </patternFill>
    </fill>
  </fills>
  <borders count="1">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0" fillId="2" fontId="1" numFmtId="0" xfId="0" applyFill="1" applyFont="1"/>
    <xf borderId="0" fillId="3" fontId="1" numFmtId="0" xfId="0" applyFill="1" applyFont="1"/>
    <xf borderId="0" fillId="4" fontId="1" numFmtId="0" xfId="0" applyAlignment="1" applyFill="1" applyFont="1">
      <alignment readingOrder="0"/>
    </xf>
    <xf borderId="0" fillId="4" fontId="1" numFmtId="0" xfId="0" applyFill="1" applyFont="1"/>
    <xf borderId="0" fillId="4" fontId="1" numFmtId="164" xfId="0" applyAlignment="1" applyFill="1" applyFont="1" applyNumberFormat="1">
      <alignment readingOrder="0"/>
    </xf>
    <xf borderId="0" fillId="4" fontId="1" numFmtId="0" xfId="0" applyAlignment="1" applyFill="1" applyFont="1">
      <alignment readingOrder="0"/>
    </xf>
    <xf borderId="0" fillId="4" fontId="2" numFmtId="0" xfId="0" applyAlignment="1" applyFill="1" applyFont="1">
      <alignment vertical="bottom"/>
    </xf>
    <xf borderId="0" fillId="4" fontId="2" numFmtId="0" xfId="0" applyAlignment="1" applyFill="1" applyFont="1">
      <alignment horizontal="right" vertical="bottom"/>
    </xf>
    <xf borderId="0" fillId="4" fontId="2" numFmtId="0" xfId="0" applyAlignment="1" applyFill="1" applyFont="1">
      <alignment vertical="bottom"/>
    </xf>
    <xf borderId="0" fillId="0" fontId="2" numFmtId="0" xfId="0" applyAlignment="1" applyFont="1">
      <alignment readingOrder="0" vertical="bottom"/>
    </xf>
    <xf borderId="0" fillId="0" fontId="2" numFmtId="0" xfId="0" applyAlignment="1" applyFont="1">
      <alignment vertical="bottom"/>
    </xf>
    <xf borderId="0" fillId="3" fontId="2" numFmtId="0" xfId="0" applyAlignment="1" applyFill="1" applyFont="1">
      <alignment vertical="bottom"/>
    </xf>
    <xf borderId="0" fillId="4" fontId="2" numFmtId="0" xfId="0" applyAlignment="1" applyFill="1" applyFont="1">
      <alignment readingOrder="0" vertical="bottom"/>
    </xf>
    <xf borderId="0" fillId="3" fontId="3" numFmtId="0" xfId="0" applyAlignment="1" applyFill="1" applyFont="1">
      <alignment vertical="bottom"/>
    </xf>
    <xf borderId="0" fillId="4" fontId="2" numFmtId="0" xfId="0" applyAlignment="1" applyFill="1" applyFont="1">
      <alignment horizontal="left" readingOrder="0" vertical="bottom"/>
    </xf>
    <xf borderId="0" fillId="2" fontId="2" numFmtId="0" xfId="0" applyAlignment="1" applyFill="1" applyFont="1">
      <alignment vertical="bottom"/>
    </xf>
    <xf borderId="0" fillId="2" fontId="2" numFmtId="0" xfId="0" applyAlignment="1" applyFill="1" applyFont="1">
      <alignment horizontal="right" vertical="bottom"/>
    </xf>
    <xf borderId="0" fillId="2" fontId="2" numFmtId="0" xfId="0" applyAlignment="1" applyFill="1" applyFont="1">
      <alignment horizontal="right" readingOrder="0" vertical="bottom"/>
    </xf>
    <xf borderId="0" fillId="2" fontId="2" numFmtId="0" xfId="0" applyAlignment="1" applyFill="1" applyFont="1">
      <alignment horizontal="left" readingOrder="0" vertical="bottom"/>
    </xf>
    <xf borderId="0" fillId="0" fontId="2" numFmtId="0" xfId="0" applyAlignment="1" applyFont="1">
      <alignment horizontal="right" readingOrder="0" vertical="bottom"/>
    </xf>
    <xf borderId="0" fillId="0" fontId="2" numFmtId="0" xfId="0" applyAlignment="1" applyFont="1">
      <alignment horizontal="right" vertical="bottom"/>
    </xf>
    <xf borderId="0" fillId="0" fontId="2" numFmtId="165" xfId="0" applyAlignment="1" applyFont="1" applyNumberFormat="1">
      <alignment horizontal="right" vertical="bottom"/>
    </xf>
    <xf borderId="0" fillId="2" fontId="2" numFmtId="165" xfId="0" applyAlignment="1" applyFill="1" applyFont="1" applyNumberFormat="1">
      <alignment horizontal="right" vertical="bottom"/>
    </xf>
    <xf borderId="0" fillId="2" fontId="2" numFmtId="0" xfId="0" applyAlignment="1" applyFill="1" applyFont="1">
      <alignment readingOrder="0" vertical="bottom"/>
    </xf>
    <xf borderId="0" fillId="4" fontId="2" numFmtId="166" xfId="0" applyAlignment="1" applyFill="1" applyFont="1" applyNumberFormat="1">
      <alignment horizontal="right" vertical="bottom"/>
    </xf>
    <xf borderId="0" fillId="3" fontId="2" numFmtId="0" xfId="0" applyAlignment="1" applyFill="1" applyFont="1">
      <alignment readingOrder="0" vertical="bottom"/>
    </xf>
    <xf borderId="0" fillId="0"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c r="G1" s="1"/>
      <c r="H1" s="1" t="s">
        <v>5</v>
      </c>
      <c r="I1" s="1" t="s">
        <v>6</v>
      </c>
      <c r="J1" s="1" t="s">
        <v>7</v>
      </c>
      <c r="K1" s="1" t="s">
        <v>8</v>
      </c>
      <c r="L1" s="1" t="s">
        <v>9</v>
      </c>
      <c r="M1" s="1" t="s">
        <v>10</v>
      </c>
    </row>
    <row r="2">
      <c r="A2" s="1" t="s">
        <v>11</v>
      </c>
      <c r="B2" s="1"/>
      <c r="C2" s="1"/>
      <c r="D2" s="1"/>
      <c r="I2" s="1"/>
      <c r="J2" s="1"/>
      <c r="K2" s="1"/>
    </row>
    <row r="3">
      <c r="A3" s="2" t="s">
        <v>12</v>
      </c>
      <c r="B3" s="2" t="s">
        <v>13</v>
      </c>
      <c r="C3" s="2" t="str">
        <f>IFERROR(__xludf.DUMMYFUNCTION("LOWER(TRIM(REGEXREPLACE(B3, ""[[:punct:]]"", """")))"),"anomaly detection for in situ marine plankton images")</f>
        <v>anomaly detection for in situ marine plankton images</v>
      </c>
      <c r="D3" s="2" t="s">
        <v>14</v>
      </c>
      <c r="E3" s="3"/>
      <c r="F3" s="3"/>
      <c r="G3" s="3"/>
      <c r="H3" s="3"/>
      <c r="I3" s="2" t="s">
        <v>15</v>
      </c>
      <c r="J3" s="2">
        <v>2021.0</v>
      </c>
      <c r="K3" s="2" t="s">
        <v>16</v>
      </c>
      <c r="L3" s="2" t="s">
        <v>17</v>
      </c>
      <c r="M3" s="2" t="s">
        <v>18</v>
      </c>
      <c r="N3" s="3"/>
      <c r="O3" s="4"/>
    </row>
    <row r="4">
      <c r="A4" s="5" t="s">
        <v>19</v>
      </c>
      <c r="B4" s="5" t="s">
        <v>20</v>
      </c>
      <c r="C4" s="5" t="str">
        <f>IFERROR(__xludf.DUMMYFUNCTION("LOWER(TRIM(REGEXREPLACE(B4, ""[[:punct:]]"", """")))"),"anomaly detection for the visual inspection of industrial and biological data")</f>
        <v>anomaly detection for the visual inspection of industrial and biological data</v>
      </c>
      <c r="D4" s="6"/>
      <c r="E4" s="6"/>
      <c r="F4" s="6"/>
      <c r="G4" s="6"/>
      <c r="H4" s="6"/>
      <c r="I4" s="6"/>
      <c r="J4" s="5">
        <v>2024.0</v>
      </c>
      <c r="K4" s="5" t="s">
        <v>21</v>
      </c>
      <c r="L4" s="5" t="s">
        <v>22</v>
      </c>
      <c r="M4" s="6"/>
      <c r="N4" s="6"/>
      <c r="O4" s="4"/>
    </row>
    <row r="5">
      <c r="A5" s="2" t="s">
        <v>23</v>
      </c>
      <c r="B5" s="2" t="s">
        <v>24</v>
      </c>
      <c r="C5" s="2" t="str">
        <f>IFERROR(__xludf.DUMMYFUNCTION("LOWER(TRIM(REGEXREPLACE(B5, ""[[:punct:]]"", """")))"),"detection of unusual fish trajectories from underwater videos")</f>
        <v>detection of unusual fish trajectories from underwater videos</v>
      </c>
      <c r="D5" s="3"/>
      <c r="E5" s="3"/>
      <c r="F5" s="3"/>
      <c r="G5" s="3"/>
      <c r="H5" s="3"/>
      <c r="I5" s="3"/>
      <c r="J5" s="2">
        <v>2015.0</v>
      </c>
      <c r="K5" s="2" t="s">
        <v>25</v>
      </c>
      <c r="L5" s="2" t="s">
        <v>17</v>
      </c>
      <c r="M5" s="2" t="s">
        <v>26</v>
      </c>
      <c r="N5" s="3"/>
      <c r="O5" s="4"/>
    </row>
    <row r="6">
      <c r="A6" s="5" t="s">
        <v>27</v>
      </c>
      <c r="B6" s="5" t="s">
        <v>28</v>
      </c>
      <c r="C6" s="5" t="str">
        <f>IFERROR(__xludf.DUMMYFUNCTION("LOWER(TRIM(REGEXREPLACE(B6, ""[[:punct:]]"", """")))"),"research on anomaly detection of offshore buoy water temperature data based on lstmdae model")</f>
        <v>research on anomaly detection of offshore buoy water temperature data based on lstmdae model</v>
      </c>
      <c r="D6" s="5" t="s">
        <v>29</v>
      </c>
      <c r="E6" s="6"/>
      <c r="F6" s="6"/>
      <c r="G6" s="6"/>
      <c r="H6" s="6"/>
      <c r="I6" s="5" t="s">
        <v>30</v>
      </c>
      <c r="J6" s="5">
        <v>2023.0</v>
      </c>
      <c r="K6" s="5" t="s">
        <v>16</v>
      </c>
      <c r="L6" s="5" t="s">
        <v>17</v>
      </c>
      <c r="M6" s="5" t="s">
        <v>31</v>
      </c>
      <c r="N6" s="6"/>
      <c r="O6" s="4"/>
    </row>
    <row r="7">
      <c r="A7" s="5" t="s">
        <v>32</v>
      </c>
      <c r="B7" s="5" t="s">
        <v>33</v>
      </c>
      <c r="C7" s="5" t="str">
        <f>IFERROR(__xludf.DUMMYFUNCTION("LOWER(TRIM(REGEXREPLACE(B7, ""[[:punct:]]"", """")))"),"a machine learning based methodology for anomaly detection in dam behaviour")</f>
        <v>a machine learning based methodology for anomaly detection in dam behaviour</v>
      </c>
      <c r="D7" s="6"/>
      <c r="E7" s="6"/>
      <c r="F7" s="6"/>
      <c r="G7" s="6"/>
      <c r="H7" s="6"/>
      <c r="I7" s="6"/>
      <c r="J7" s="5">
        <v>2017.0</v>
      </c>
      <c r="K7" s="5" t="s">
        <v>34</v>
      </c>
      <c r="L7" s="5" t="s">
        <v>35</v>
      </c>
      <c r="M7" s="6"/>
      <c r="N7" s="6"/>
      <c r="O7" s="4"/>
    </row>
    <row r="8">
      <c r="A8" s="5" t="s">
        <v>36</v>
      </c>
      <c r="B8" s="5" t="s">
        <v>37</v>
      </c>
      <c r="C8" s="5" t="str">
        <f>IFERROR(__xludf.DUMMYFUNCTION("LOWER(TRIM(REGEXREPLACE(B8, ""[[:punct:]]"", """")))"),"coastline target detection based on uav hyperspectral remote sensing images")</f>
        <v>coastline target detection based on uav hyperspectral remote sensing images</v>
      </c>
      <c r="D8" s="5" t="s">
        <v>38</v>
      </c>
      <c r="E8" s="5">
        <v>11.0</v>
      </c>
      <c r="F8" s="6"/>
      <c r="G8" s="6"/>
      <c r="H8" s="6"/>
      <c r="I8" s="5">
        <v>1452737.0</v>
      </c>
      <c r="J8" s="5">
        <v>2024.0</v>
      </c>
      <c r="K8" s="5" t="s">
        <v>39</v>
      </c>
      <c r="L8" s="5" t="s">
        <v>17</v>
      </c>
      <c r="M8" s="5" t="s">
        <v>40</v>
      </c>
      <c r="N8" s="6"/>
      <c r="O8" s="4"/>
    </row>
    <row r="9">
      <c r="A9" s="5" t="s">
        <v>41</v>
      </c>
      <c r="B9" s="5" t="s">
        <v>42</v>
      </c>
      <c r="C9" s="5" t="str">
        <f>IFERROR(__xludf.DUMMYFUNCTION("LOWER(TRIM(REGEXREPLACE(B9, ""[[:punct:]]"", """")))"),"smoothhound shark mustelus mustelus movements dictated by context higher residency in south african marine protected areas")</f>
        <v>smoothhound shark mustelus mustelus movements dictated by context higher residency in south african marine protected areas</v>
      </c>
      <c r="D9" s="5" t="s">
        <v>43</v>
      </c>
      <c r="E9" s="6"/>
      <c r="F9" s="6"/>
      <c r="G9" s="6"/>
      <c r="H9" s="6"/>
      <c r="I9" s="5">
        <v>29.0</v>
      </c>
      <c r="J9" s="5">
        <v>2024.0</v>
      </c>
      <c r="K9" s="6"/>
      <c r="L9" s="5" t="s">
        <v>44</v>
      </c>
      <c r="M9" s="6"/>
      <c r="N9" s="6"/>
      <c r="O9" s="4"/>
    </row>
    <row r="10">
      <c r="A10" s="5" t="s">
        <v>45</v>
      </c>
      <c r="B10" s="5" t="s">
        <v>46</v>
      </c>
      <c r="C10" s="5" t="str">
        <f>IFERROR(__xludf.DUMMYFUNCTION("LOWER(TRIM(REGEXREPLACE(B10, ""[[:punct:]]"", """")))"),"underwater fish identification in realtime using convolutional neural network")</f>
        <v>underwater fish identification in realtime using convolutional neural network</v>
      </c>
      <c r="D10" s="5" t="s">
        <v>47</v>
      </c>
      <c r="E10" s="6"/>
      <c r="F10" s="6"/>
      <c r="G10" s="6"/>
      <c r="H10" s="6"/>
      <c r="I10" s="5" t="s">
        <v>48</v>
      </c>
      <c r="J10" s="5">
        <v>2023.0</v>
      </c>
      <c r="K10" s="5" t="s">
        <v>16</v>
      </c>
      <c r="L10" s="5" t="s">
        <v>49</v>
      </c>
      <c r="M10" s="6"/>
      <c r="N10" s="6"/>
      <c r="O10" s="4"/>
    </row>
    <row r="11">
      <c r="A11" s="2" t="s">
        <v>50</v>
      </c>
      <c r="B11" s="2" t="s">
        <v>51</v>
      </c>
      <c r="C11" s="2" t="str">
        <f>IFERROR(__xludf.DUMMYFUNCTION("LOWER(TRIM(REGEXREPLACE(B11, ""[[:punct:]]"", """")))"),"openset plankton recognition")</f>
        <v>openset plankton recognition</v>
      </c>
      <c r="D11" s="2" t="s">
        <v>52</v>
      </c>
      <c r="E11" s="3"/>
      <c r="F11" s="3"/>
      <c r="G11" s="3"/>
      <c r="H11" s="3"/>
      <c r="I11" s="2" t="s">
        <v>53</v>
      </c>
      <c r="J11" s="2">
        <v>2024.0</v>
      </c>
      <c r="K11" s="2" t="s">
        <v>54</v>
      </c>
      <c r="L11" s="2" t="s">
        <v>17</v>
      </c>
      <c r="M11" s="2" t="s">
        <v>26</v>
      </c>
      <c r="N11" s="3"/>
      <c r="O11" s="4"/>
    </row>
    <row r="12">
      <c r="A12" s="2" t="s">
        <v>55</v>
      </c>
      <c r="B12" s="2" t="s">
        <v>56</v>
      </c>
      <c r="C12" s="2" t="str">
        <f>IFERROR(__xludf.DUMMYFUNCTION("LOWER(TRIM(REGEXREPLACE(B12, ""[[:punct:]]"", """")))"),"an adaptive approach to detect highbiomass algal blooms from eo chlorophylla data in support of harmful algal bloom monitoring")</f>
        <v>an adaptive approach to detect highbiomass algal blooms from eo chlorophylla data in support of harmful algal bloom monitoring</v>
      </c>
      <c r="D12" s="2" t="s">
        <v>57</v>
      </c>
      <c r="E12" s="2">
        <v>3.0</v>
      </c>
      <c r="F12" s="2"/>
      <c r="G12" s="2"/>
      <c r="H12" s="2">
        <v>2.0</v>
      </c>
      <c r="I12" s="2" t="s">
        <v>58</v>
      </c>
      <c r="J12" s="2">
        <v>2012.0</v>
      </c>
      <c r="K12" s="2" t="s">
        <v>59</v>
      </c>
      <c r="L12" s="2" t="s">
        <v>17</v>
      </c>
      <c r="M12" s="2" t="s">
        <v>26</v>
      </c>
      <c r="N12" s="3"/>
      <c r="O12" s="4"/>
    </row>
    <row r="13">
      <c r="A13" s="5" t="s">
        <v>60</v>
      </c>
      <c r="B13" s="5" t="s">
        <v>61</v>
      </c>
      <c r="C13" s="5" t="str">
        <f>IFERROR(__xludf.DUMMYFUNCTION("LOWER(TRIM(REGEXREPLACE(B13, ""[[:punct:]]"", """")))"),"novel design of helical storage and planting mechanism for coral reef restoration using optoacoustic and image processing methods")</f>
        <v>novel design of helical storage and planting mechanism for coral reef restoration using optoacoustic and image processing methods</v>
      </c>
      <c r="D13" s="5" t="s">
        <v>62</v>
      </c>
      <c r="E13" s="6"/>
      <c r="F13" s="6"/>
      <c r="G13" s="6"/>
      <c r="H13" s="6"/>
      <c r="I13" s="5" t="s">
        <v>63</v>
      </c>
      <c r="J13" s="5">
        <v>2024.0</v>
      </c>
      <c r="K13" s="5" t="s">
        <v>16</v>
      </c>
      <c r="L13" s="5" t="s">
        <v>17</v>
      </c>
      <c r="M13" s="5" t="s">
        <v>44</v>
      </c>
      <c r="N13" s="6"/>
      <c r="O13" s="4"/>
    </row>
    <row r="14">
      <c r="A14" s="2" t="s">
        <v>64</v>
      </c>
      <c r="B14" s="2" t="s">
        <v>65</v>
      </c>
      <c r="C14" s="2" t="str">
        <f>IFERROR(__xludf.DUMMYFUNCTION("LOWER(TRIM(REGEXREPLACE(B14, ""[[:punct:]]"", """")))"),"improving rareclass recognition of marine plankton with hard negative mining")</f>
        <v>improving rareclass recognition of marine plankton with hard negative mining</v>
      </c>
      <c r="D14" s="2" t="s">
        <v>14</v>
      </c>
      <c r="E14" s="3"/>
      <c r="F14" s="3"/>
      <c r="G14" s="3"/>
      <c r="H14" s="3"/>
      <c r="I14" s="2" t="s">
        <v>66</v>
      </c>
      <c r="J14" s="2">
        <v>2021.0</v>
      </c>
      <c r="K14" s="2" t="s">
        <v>16</v>
      </c>
      <c r="L14" s="2" t="s">
        <v>17</v>
      </c>
      <c r="M14" s="2" t="s">
        <v>26</v>
      </c>
      <c r="N14" s="3"/>
      <c r="O14" s="4"/>
    </row>
    <row r="15">
      <c r="A15" s="5" t="s">
        <v>67</v>
      </c>
      <c r="B15" s="5" t="s">
        <v>68</v>
      </c>
      <c r="C15" s="5" t="str">
        <f>IFERROR(__xludf.DUMMYFUNCTION("LOWER(TRIM(REGEXREPLACE(B15, ""[[:punct:]]"", """")))"),"rapid identification of marine microplastics by laserinduced fluorescence technique based on pca combined with svm and knn algorithm")</f>
        <v>rapid identification of marine microplastics by laserinduced fluorescence technique based on pca combined with svm and knn algorithm</v>
      </c>
      <c r="D15" s="5" t="s">
        <v>69</v>
      </c>
      <c r="E15" s="5">
        <v>269.0</v>
      </c>
      <c r="F15" s="6"/>
      <c r="G15" s="6"/>
      <c r="H15" s="6"/>
      <c r="I15" s="5">
        <v>120947.0</v>
      </c>
      <c r="J15" s="5">
        <v>2025.0</v>
      </c>
      <c r="K15" s="5" t="s">
        <v>70</v>
      </c>
      <c r="L15" s="5" t="s">
        <v>71</v>
      </c>
      <c r="M15" s="6"/>
      <c r="N15" s="6"/>
      <c r="O15" s="4"/>
    </row>
    <row r="16">
      <c r="A16" s="5" t="s">
        <v>72</v>
      </c>
      <c r="B16" s="5" t="s">
        <v>73</v>
      </c>
      <c r="C16" s="5" t="str">
        <f>IFERROR(__xludf.DUMMYFUNCTION("LOWER(TRIM(REGEXREPLACE(B16, ""[[:punct:]]"", """")))"),"applying neural networks to predict factors affecting harmful algal blooms for timely alerting and implementing preventive measures in irelands marine ecosystem")</f>
        <v>applying neural networks to predict factors affecting harmful algal blooms for timely alerting and implementing preventive measures in irelands marine ecosystem</v>
      </c>
      <c r="D16" s="6"/>
      <c r="E16" s="6"/>
      <c r="F16" s="6"/>
      <c r="G16" s="6"/>
      <c r="H16" s="6"/>
      <c r="I16" s="6"/>
      <c r="J16" s="5">
        <v>2024.0</v>
      </c>
      <c r="K16" s="6"/>
      <c r="L16" s="5" t="s">
        <v>17</v>
      </c>
      <c r="M16" s="5" t="s">
        <v>74</v>
      </c>
      <c r="N16" s="6"/>
      <c r="O16" s="4"/>
    </row>
    <row r="17">
      <c r="A17" s="2" t="s">
        <v>75</v>
      </c>
      <c r="B17" s="2" t="s">
        <v>76</v>
      </c>
      <c r="C17" s="2" t="str">
        <f>IFERROR(__xludf.DUMMYFUNCTION("LOWER(TRIM(REGEXREPLACE(B17, ""[[:punct:]]"", """")))"),"anomalous behavior recognition of underwater creatures using lite 3d fullconvolution network")</f>
        <v>anomalous behavior recognition of underwater creatures using lite 3d fullconvolution network</v>
      </c>
      <c r="D17" s="2" t="s">
        <v>77</v>
      </c>
      <c r="E17" s="2">
        <v>13.0</v>
      </c>
      <c r="F17" s="2"/>
      <c r="G17" s="2"/>
      <c r="H17" s="2">
        <v>1.0</v>
      </c>
      <c r="I17" s="2">
        <v>20051.0</v>
      </c>
      <c r="J17" s="2">
        <v>2023.0</v>
      </c>
      <c r="K17" s="2" t="s">
        <v>78</v>
      </c>
      <c r="L17" s="2" t="s">
        <v>17</v>
      </c>
      <c r="M17" s="2" t="s">
        <v>26</v>
      </c>
      <c r="N17" s="3"/>
      <c r="O17" s="4"/>
    </row>
    <row r="18">
      <c r="A18" s="5" t="s">
        <v>79</v>
      </c>
      <c r="B18" s="5" t="s">
        <v>80</v>
      </c>
      <c r="C18" s="5" t="str">
        <f>IFERROR(__xludf.DUMMYFUNCTION("LOWER(TRIM(REGEXREPLACE(B18, ""[[:punct:]]"", """")))"),"depondfi23 challenge summary")</f>
        <v>depondfi23 challenge summary</v>
      </c>
      <c r="D18" s="5" t="s">
        <v>81</v>
      </c>
      <c r="E18" s="6"/>
      <c r="F18" s="6"/>
      <c r="G18" s="6"/>
      <c r="H18" s="6"/>
      <c r="I18" s="5">
        <v>155.0</v>
      </c>
      <c r="J18" s="5">
        <v>2025.0</v>
      </c>
      <c r="K18" s="5" t="s">
        <v>82</v>
      </c>
      <c r="L18" s="5" t="s">
        <v>17</v>
      </c>
      <c r="M18" s="5" t="s">
        <v>44</v>
      </c>
      <c r="N18" s="6"/>
      <c r="O18" s="4"/>
    </row>
    <row r="19">
      <c r="A19" s="5" t="s">
        <v>83</v>
      </c>
      <c r="B19" s="5" t="s">
        <v>84</v>
      </c>
      <c r="C19" s="5" t="str">
        <f>IFERROR(__xludf.DUMMYFUNCTION("LOWER(TRIM(REGEXREPLACE(B19, ""[[:punct:]]"", """")))"),"sustainable aquaculture development a review on the roles of cloud computing internet of things and artificial intelligence cia")</f>
        <v>sustainable aquaculture development a review on the roles of cloud computing internet of things and artificial intelligence cia</v>
      </c>
      <c r="D19" s="5" t="s">
        <v>85</v>
      </c>
      <c r="E19" s="5">
        <v>13.0</v>
      </c>
      <c r="F19" s="5"/>
      <c r="G19" s="5"/>
      <c r="H19" s="5">
        <v>4.0</v>
      </c>
      <c r="I19" s="5" t="s">
        <v>86</v>
      </c>
      <c r="J19" s="5">
        <v>2021.0</v>
      </c>
      <c r="K19" s="5" t="s">
        <v>87</v>
      </c>
      <c r="L19" s="5" t="s">
        <v>88</v>
      </c>
      <c r="M19" s="6"/>
      <c r="N19" s="6"/>
      <c r="O19" s="4"/>
    </row>
    <row r="20">
      <c r="A20" s="5" t="s">
        <v>89</v>
      </c>
      <c r="B20" s="5" t="s">
        <v>90</v>
      </c>
      <c r="C20" s="5" t="str">
        <f>IFERROR(__xludf.DUMMYFUNCTION("LOWER(TRIM(REGEXREPLACE(B20, ""[[:punct:]]"", """")))"),"airborne sensors for detecting large marine debris at sea")</f>
        <v>airborne sensors for detecting large marine debris at sea</v>
      </c>
      <c r="D20" s="5" t="s">
        <v>91</v>
      </c>
      <c r="E20" s="5">
        <v>65.0</v>
      </c>
      <c r="F20" s="7"/>
      <c r="G20" s="7"/>
      <c r="H20" s="7">
        <v>46025.0</v>
      </c>
      <c r="I20" s="5" t="s">
        <v>92</v>
      </c>
      <c r="J20" s="5">
        <v>2012.0</v>
      </c>
      <c r="K20" s="5" t="s">
        <v>70</v>
      </c>
      <c r="L20" s="5" t="s">
        <v>17</v>
      </c>
      <c r="M20" s="5" t="s">
        <v>93</v>
      </c>
      <c r="N20" s="6"/>
      <c r="O20" s="4"/>
    </row>
    <row r="21">
      <c r="A21" s="2" t="s">
        <v>94</v>
      </c>
      <c r="B21" s="2" t="s">
        <v>95</v>
      </c>
      <c r="C21" s="2" t="str">
        <f>IFERROR(__xludf.DUMMYFUNCTION("LOWER(TRIM(REGEXREPLACE(B21, ""[[:punct:]]"", """")))"),"extracting statistically significant behaviour from fish tracking data with and without large dataset cleaning")</f>
        <v>extracting statistically significant behaviour from fish tracking data with and without large dataset cleaning</v>
      </c>
      <c r="D21" s="2" t="s">
        <v>96</v>
      </c>
      <c r="E21" s="2">
        <v>12.0</v>
      </c>
      <c r="F21" s="2"/>
      <c r="G21" s="2"/>
      <c r="H21" s="2">
        <v>2.0</v>
      </c>
      <c r="I21" s="2" t="s">
        <v>97</v>
      </c>
      <c r="J21" s="2">
        <v>2018.0</v>
      </c>
      <c r="K21" s="2" t="s">
        <v>98</v>
      </c>
      <c r="L21" s="2" t="s">
        <v>17</v>
      </c>
      <c r="M21" s="2" t="s">
        <v>26</v>
      </c>
      <c r="N21" s="3"/>
      <c r="O21" s="4"/>
    </row>
    <row r="22">
      <c r="A22" s="5" t="s">
        <v>99</v>
      </c>
      <c r="B22" s="5" t="s">
        <v>100</v>
      </c>
      <c r="C22" s="5" t="str">
        <f>IFERROR(__xludf.DUMMYFUNCTION("LOWER(TRIM(REGEXREPLACE(B22, ""[[:punct:]]"", """")))"),"smart solutions for mitigating climate change impacts on coastal waters and resources in sri lanka")</f>
        <v>smart solutions for mitigating climate change impacts on coastal waters and resources in sri lanka</v>
      </c>
      <c r="D22" s="5" t="s">
        <v>101</v>
      </c>
      <c r="E22" s="5">
        <v>191.0</v>
      </c>
      <c r="F22" s="6"/>
      <c r="G22" s="6"/>
      <c r="H22" s="6"/>
      <c r="I22" s="6"/>
      <c r="J22" s="5">
        <v>2024.0</v>
      </c>
      <c r="K22" s="6"/>
      <c r="L22" s="5" t="s">
        <v>102</v>
      </c>
      <c r="M22" s="6"/>
      <c r="N22" s="6"/>
      <c r="O22" s="4"/>
    </row>
    <row r="23">
      <c r="A23" s="5" t="s">
        <v>103</v>
      </c>
      <c r="B23" s="5" t="s">
        <v>104</v>
      </c>
      <c r="C23" s="5" t="str">
        <f>IFERROR(__xludf.DUMMYFUNCTION("LOWER(TRIM(REGEXREPLACE(B23, ""[[:punct:]]"", """")))"),"efficient unsupervised learning for plankton images")</f>
        <v>efficient unsupervised learning for plankton images</v>
      </c>
      <c r="D23" s="5" t="s">
        <v>105</v>
      </c>
      <c r="E23" s="6"/>
      <c r="F23" s="6"/>
      <c r="G23" s="6"/>
      <c r="H23" s="6"/>
      <c r="I23" s="5" t="s">
        <v>106</v>
      </c>
      <c r="J23" s="5">
        <v>2022.0</v>
      </c>
      <c r="K23" s="5" t="s">
        <v>16</v>
      </c>
      <c r="L23" s="5" t="s">
        <v>17</v>
      </c>
      <c r="M23" s="5" t="s">
        <v>107</v>
      </c>
      <c r="N23" s="6"/>
      <c r="O23" s="4"/>
    </row>
    <row r="24">
      <c r="A24" s="5" t="s">
        <v>108</v>
      </c>
      <c r="B24" s="5" t="s">
        <v>109</v>
      </c>
      <c r="C24" s="5" t="str">
        <f>IFERROR(__xludf.DUMMYFUNCTION("LOWER(TRIM(REGEXREPLACE(B24, ""[[:punct:]]"", """")))"),"distribution of demersal fishes on unconsolidated bottom habitat of the northern gulf of mexico")</f>
        <v>distribution of demersal fishes on unconsolidated bottom habitat of the northern gulf of mexico</v>
      </c>
      <c r="D24" s="6"/>
      <c r="E24" s="6"/>
      <c r="F24" s="6"/>
      <c r="G24" s="6"/>
      <c r="H24" s="6"/>
      <c r="I24" s="6"/>
      <c r="J24" s="5">
        <v>2020.0</v>
      </c>
      <c r="K24" s="6"/>
      <c r="L24" s="5" t="s">
        <v>17</v>
      </c>
      <c r="M24" s="5" t="s">
        <v>110</v>
      </c>
      <c r="N24" s="6"/>
      <c r="O24" s="4"/>
    </row>
    <row r="25">
      <c r="A25" s="2" t="s">
        <v>111</v>
      </c>
      <c r="B25" s="2" t="s">
        <v>112</v>
      </c>
      <c r="C25" s="2" t="str">
        <f>IFERROR(__xludf.DUMMYFUNCTION("LOWER(TRIM(REGEXREPLACE(B25, ""[[:punct:]]"", """")))"),"applying spatiotemporal models to monitoring data to quantify fish population responses to the deepwater horizon oil spill in the gulf of mexico")</f>
        <v>applying spatiotemporal models to monitoring data to quantify fish population responses to the deepwater horizon oil spill in the gulf of mexico</v>
      </c>
      <c r="D25" s="2" t="s">
        <v>113</v>
      </c>
      <c r="E25" s="2">
        <v>190.0</v>
      </c>
      <c r="F25" s="2"/>
      <c r="G25" s="2"/>
      <c r="H25" s="2">
        <v>9.0</v>
      </c>
      <c r="I25" s="2">
        <v>530.0</v>
      </c>
      <c r="J25" s="2">
        <v>2018.0</v>
      </c>
      <c r="K25" s="2" t="s">
        <v>114</v>
      </c>
      <c r="L25" s="2" t="s">
        <v>17</v>
      </c>
      <c r="M25" s="2" t="s">
        <v>26</v>
      </c>
      <c r="N25" s="3"/>
      <c r="O25" s="4"/>
    </row>
    <row r="26">
      <c r="A26" s="5" t="s">
        <v>115</v>
      </c>
      <c r="B26" s="5" t="s">
        <v>116</v>
      </c>
      <c r="C26" s="5" t="str">
        <f>IFERROR(__xludf.DUMMYFUNCTION("LOWER(TRIM(REGEXREPLACE(B26, ""[[:punct:]]"", """")))"),"study of sea surface temperature prediction and oceanographic exploration using deep learning")</f>
        <v>study of sea surface temperature prediction and oceanographic exploration using deep learning</v>
      </c>
      <c r="D26" s="5" t="s">
        <v>117</v>
      </c>
      <c r="E26" s="6"/>
      <c r="F26" s="6"/>
      <c r="G26" s="6"/>
      <c r="H26" s="6"/>
      <c r="I26" s="5" t="s">
        <v>118</v>
      </c>
      <c r="J26" s="5">
        <v>2023.0</v>
      </c>
      <c r="K26" s="5" t="s">
        <v>16</v>
      </c>
      <c r="L26" s="5" t="s">
        <v>17</v>
      </c>
      <c r="M26" s="5" t="s">
        <v>119</v>
      </c>
      <c r="N26" s="6"/>
      <c r="O26" s="4"/>
    </row>
    <row r="27">
      <c r="A27" s="5" t="s">
        <v>120</v>
      </c>
      <c r="B27" s="5" t="s">
        <v>121</v>
      </c>
      <c r="C27" s="5" t="str">
        <f>IFERROR(__xludf.DUMMYFUNCTION("LOWER(TRIM(REGEXREPLACE(B27, ""[[:punct:]]"", """")))"),"developments in subsea power and telecommunication cables detection part 2electromagnetic detection")</f>
        <v>developments in subsea power and telecommunication cables detection part 2electromagnetic detection</v>
      </c>
      <c r="D27" s="5" t="s">
        <v>122</v>
      </c>
      <c r="E27" s="5">
        <v>31.0</v>
      </c>
      <c r="F27" s="5"/>
      <c r="G27" s="5"/>
      <c r="H27" s="5">
        <v>3.0</v>
      </c>
      <c r="I27" s="5">
        <v>133.0</v>
      </c>
      <c r="J27" s="5">
        <v>2013.0</v>
      </c>
      <c r="K27" s="6"/>
      <c r="L27" s="5" t="s">
        <v>123</v>
      </c>
      <c r="M27" s="6"/>
      <c r="N27" s="6"/>
      <c r="O27" s="4"/>
    </row>
    <row r="28">
      <c r="A28" s="5" t="s">
        <v>124</v>
      </c>
      <c r="B28" s="5" t="s">
        <v>125</v>
      </c>
      <c r="C28" s="5" t="str">
        <f>IFERROR(__xludf.DUMMYFUNCTION("LOWER(TRIM(REGEXREPLACE(B28, ""[[:punct:]]"", """")))"),"development and teleoperation of robotic vehicles")</f>
        <v>development and teleoperation of robotic vehicles</v>
      </c>
      <c r="D28" s="5" t="s">
        <v>126</v>
      </c>
      <c r="E28" s="6"/>
      <c r="F28" s="6"/>
      <c r="G28" s="6"/>
      <c r="H28" s="6"/>
      <c r="I28" s="5">
        <v>6581.0</v>
      </c>
      <c r="J28" s="5">
        <v>2003.0</v>
      </c>
      <c r="K28" s="6"/>
      <c r="L28" s="5" t="s">
        <v>127</v>
      </c>
      <c r="M28" s="6"/>
      <c r="N28" s="6"/>
      <c r="O28" s="4"/>
    </row>
    <row r="29">
      <c r="A29" s="5" t="s">
        <v>128</v>
      </c>
      <c r="B29" s="5" t="s">
        <v>129</v>
      </c>
      <c r="C29" s="5" t="str">
        <f>IFERROR(__xludf.DUMMYFUNCTION("LOWER(TRIM(REGEXREPLACE(B29, ""[[:punct:]]"", """")))"),"rapid detection of fish calls within diverse coral reef soundscapes using a convolutional neural network")</f>
        <v>rapid detection of fish calls within diverse coral reef soundscapes using a convolutional neural network</v>
      </c>
      <c r="D29" s="5" t="s">
        <v>130</v>
      </c>
      <c r="E29" s="5">
        <v>157.0</v>
      </c>
      <c r="F29" s="5"/>
      <c r="G29" s="5"/>
      <c r="H29" s="5">
        <v>3.0</v>
      </c>
      <c r="I29" s="5" t="s">
        <v>131</v>
      </c>
      <c r="J29" s="5">
        <v>2025.0</v>
      </c>
      <c r="K29" s="5" t="s">
        <v>132</v>
      </c>
      <c r="L29" s="5" t="s">
        <v>17</v>
      </c>
      <c r="M29" s="5" t="s">
        <v>133</v>
      </c>
      <c r="N29" s="6"/>
      <c r="O29" s="4"/>
    </row>
    <row r="30">
      <c r="A30" s="5" t="s">
        <v>134</v>
      </c>
      <c r="B30" s="5" t="s">
        <v>135</v>
      </c>
      <c r="C30" s="5" t="str">
        <f>IFERROR(__xludf.DUMMYFUNCTION("LOWER(TRIM(REGEXREPLACE(B30, ""[[:punct:]]"", """")))"),"adoption of machine learning techniques in ecology and earth science")</f>
        <v>adoption of machine learning techniques in ecology and earth science</v>
      </c>
      <c r="D30" s="5" t="s">
        <v>136</v>
      </c>
      <c r="E30" s="5">
        <v>1.0</v>
      </c>
      <c r="F30" s="6"/>
      <c r="G30" s="6"/>
      <c r="H30" s="6"/>
      <c r="I30" s="5" t="s">
        <v>137</v>
      </c>
      <c r="J30" s="5">
        <v>2016.0</v>
      </c>
      <c r="K30" s="5" t="s">
        <v>138</v>
      </c>
      <c r="L30" s="5" t="s">
        <v>17</v>
      </c>
      <c r="M30" s="5" t="s">
        <v>139</v>
      </c>
      <c r="N30" s="6"/>
      <c r="O30" s="4"/>
    </row>
    <row r="31">
      <c r="A31" s="5" t="s">
        <v>140</v>
      </c>
      <c r="B31" s="5" t="s">
        <v>141</v>
      </c>
      <c r="C31" s="5" t="str">
        <f>IFERROR(__xludf.DUMMYFUNCTION("LOWER(TRIM(REGEXREPLACE(B31, ""[[:punct:]]"", """")))"),"preventing jellyfish attacks on electrical power plants in kuwait an innovative solution")</f>
        <v>preventing jellyfish attacks on electrical power plants in kuwait an innovative solution</v>
      </c>
      <c r="D31" s="6"/>
      <c r="E31" s="6"/>
      <c r="F31" s="6"/>
      <c r="G31" s="6"/>
      <c r="H31" s="6"/>
      <c r="I31" s="6"/>
      <c r="J31" s="6"/>
      <c r="K31" s="6"/>
      <c r="L31" s="5" t="s">
        <v>142</v>
      </c>
      <c r="M31" s="6"/>
      <c r="N31" s="6"/>
      <c r="O31" s="4"/>
    </row>
    <row r="32">
      <c r="A32" s="5" t="s">
        <v>143</v>
      </c>
      <c r="B32" s="5" t="s">
        <v>144</v>
      </c>
      <c r="C32" s="5" t="str">
        <f>IFERROR(__xludf.DUMMYFUNCTION("LOWER(TRIM(REGEXREPLACE(B32, ""[[:punct:]]"", """")))"),"maia—a machine learning assisted image annotation method for environmental monitoring and exploration")</f>
        <v>maia—a machine learning assisted image annotation method for environmental monitoring and exploration</v>
      </c>
      <c r="D32" s="5" t="s">
        <v>145</v>
      </c>
      <c r="E32" s="5">
        <v>13.0</v>
      </c>
      <c r="F32" s="5"/>
      <c r="G32" s="5"/>
      <c r="H32" s="5">
        <v>11.0</v>
      </c>
      <c r="I32" s="5" t="s">
        <v>146</v>
      </c>
      <c r="J32" s="5">
        <v>2018.0</v>
      </c>
      <c r="K32" s="5" t="s">
        <v>147</v>
      </c>
      <c r="L32" s="5" t="s">
        <v>148</v>
      </c>
      <c r="M32" s="5"/>
      <c r="N32" s="6"/>
      <c r="O32" s="4"/>
    </row>
    <row r="33">
      <c r="A33" s="2" t="s">
        <v>149</v>
      </c>
      <c r="B33" s="2" t="s">
        <v>150</v>
      </c>
      <c r="C33" s="2" t="str">
        <f>IFERROR(__xludf.DUMMYFUNCTION("LOWER(TRIM(REGEXREPLACE(B33, ""[[:punct:]]"", """")))"),"automated detection of coastal upwelling in the western indian ocean towards an operational “upwelling watch” system")</f>
        <v>automated detection of coastal upwelling in the western indian ocean towards an operational “upwelling watch” system</v>
      </c>
      <c r="D33" s="2" t="s">
        <v>38</v>
      </c>
      <c r="E33" s="2">
        <v>9.0</v>
      </c>
      <c r="F33" s="3"/>
      <c r="G33" s="3"/>
      <c r="H33" s="3"/>
      <c r="I33" s="2">
        <v>950733.0</v>
      </c>
      <c r="J33" s="2">
        <v>2022.0</v>
      </c>
      <c r="K33" s="2" t="s">
        <v>39</v>
      </c>
      <c r="L33" s="2" t="s">
        <v>17</v>
      </c>
      <c r="M33" s="2" t="s">
        <v>26</v>
      </c>
      <c r="N33" s="3"/>
      <c r="O33" s="4"/>
    </row>
    <row r="34">
      <c r="A34" s="5" t="s">
        <v>151</v>
      </c>
      <c r="B34" s="5" t="s">
        <v>152</v>
      </c>
      <c r="C34" s="5" t="str">
        <f>IFERROR(__xludf.DUMMYFUNCTION("LOWER(TRIM(REGEXREPLACE(B34, ""[[:punct:]]"", """")))"),"a 30month data set of glider physicochemical data off mayotte island near the fani maoré volcano")</f>
        <v>a 30month data set of glider physicochemical data off mayotte island near the fani maoré volcano</v>
      </c>
      <c r="D34" s="5" t="s">
        <v>153</v>
      </c>
      <c r="E34" s="5">
        <v>17.0</v>
      </c>
      <c r="F34" s="5"/>
      <c r="G34" s="5"/>
      <c r="H34" s="5">
        <v>9.0</v>
      </c>
      <c r="I34" s="5" t="s">
        <v>154</v>
      </c>
      <c r="J34" s="5">
        <v>2025.0</v>
      </c>
      <c r="K34" s="5" t="s">
        <v>155</v>
      </c>
      <c r="L34" s="5" t="s">
        <v>156</v>
      </c>
      <c r="M34" s="6"/>
      <c r="N34" s="6"/>
      <c r="O34" s="4"/>
    </row>
    <row r="35">
      <c r="A35" s="5" t="s">
        <v>157</v>
      </c>
      <c r="B35" s="5" t="s">
        <v>158</v>
      </c>
      <c r="C35" s="5" t="str">
        <f>IFERROR(__xludf.DUMMYFUNCTION("LOWER(TRIM(REGEXREPLACE(B35, ""[[:punct:]]"", """")))"),"robust methods of unsupervised clustering to discover new planktonic species insitu")</f>
        <v>robust methods of unsupervised clustering to discover new planktonic species insitu</v>
      </c>
      <c r="D35" s="5" t="s">
        <v>159</v>
      </c>
      <c r="E35" s="6"/>
      <c r="F35" s="6"/>
      <c r="G35" s="6"/>
      <c r="H35" s="6"/>
      <c r="I35" s="7">
        <v>46031.0</v>
      </c>
      <c r="J35" s="5">
        <v>2020.0</v>
      </c>
      <c r="K35" s="5" t="s">
        <v>16</v>
      </c>
      <c r="L35" s="5" t="s">
        <v>17</v>
      </c>
      <c r="M35" s="5" t="s">
        <v>160</v>
      </c>
      <c r="N35" s="6"/>
      <c r="O35" s="4"/>
    </row>
    <row r="36">
      <c r="A36" s="5" t="s">
        <v>161</v>
      </c>
      <c r="B36" s="5" t="s">
        <v>162</v>
      </c>
      <c r="C36" s="5" t="str">
        <f>IFERROR(__xludf.DUMMYFUNCTION("LOWER(TRIM(REGEXREPLACE(B36, ""[[:punct:]]"", """")))"),"creating functional groups of marine fish from categorical traits")</f>
        <v>creating functional groups of marine fish from categorical traits</v>
      </c>
      <c r="D36" s="5" t="s">
        <v>163</v>
      </c>
      <c r="E36" s="5">
        <v>6.0</v>
      </c>
      <c r="F36" s="6"/>
      <c r="G36" s="6"/>
      <c r="H36" s="6"/>
      <c r="I36" s="5" t="s">
        <v>164</v>
      </c>
      <c r="J36" s="5">
        <v>2018.0</v>
      </c>
      <c r="K36" s="5" t="s">
        <v>165</v>
      </c>
      <c r="L36" s="5" t="s">
        <v>166</v>
      </c>
      <c r="M36" s="6"/>
      <c r="N36" s="6"/>
      <c r="O36" s="4"/>
    </row>
    <row r="37">
      <c r="A37" s="5" t="s">
        <v>167</v>
      </c>
      <c r="B37" s="5" t="s">
        <v>168</v>
      </c>
      <c r="C37" s="5" t="str">
        <f>IFERROR(__xludf.DUMMYFUNCTION("LOWER(TRIM(REGEXREPLACE(B37, ""[[:punct:]]"", """")))"),"iterative spatial leaveoneout crossvalidation and gapfilling based data augmentation for supervised learning applications in marine remote sensing")</f>
        <v>iterative spatial leaveoneout crossvalidation and gapfilling based data augmentation for supervised learning applications in marine remote sensing</v>
      </c>
      <c r="D37" s="5" t="s">
        <v>169</v>
      </c>
      <c r="E37" s="5">
        <v>59.0</v>
      </c>
      <c r="F37" s="5"/>
      <c r="G37" s="5"/>
      <c r="H37" s="5">
        <v>1.0</v>
      </c>
      <c r="I37" s="5" t="s">
        <v>170</v>
      </c>
      <c r="J37" s="5">
        <v>2022.0</v>
      </c>
      <c r="K37" s="5" t="s">
        <v>59</v>
      </c>
      <c r="L37" s="5" t="s">
        <v>171</v>
      </c>
      <c r="M37" s="6"/>
      <c r="N37" s="6"/>
      <c r="O37" s="4"/>
    </row>
    <row r="38">
      <c r="A38" s="5" t="s">
        <v>172</v>
      </c>
      <c r="B38" s="5" t="s">
        <v>173</v>
      </c>
      <c r="C38" s="5" t="str">
        <f>IFERROR(__xludf.DUMMYFUNCTION("LOWER(TRIM(REGEXREPLACE(B38, ""[[:punct:]]"", """")))"),"passive optical remote sensing of cyanobacteria and other intense phytoplankton blooms in coastal and inland waters")</f>
        <v>passive optical remote sensing of cyanobacteria and other intense phytoplankton blooms in coastal and inland waters</v>
      </c>
      <c r="D38" s="5" t="s">
        <v>174</v>
      </c>
      <c r="E38" s="5">
        <v>30.0</v>
      </c>
      <c r="F38" s="5"/>
      <c r="G38" s="5"/>
      <c r="H38" s="5">
        <v>17.0</v>
      </c>
      <c r="I38" s="5" t="s">
        <v>175</v>
      </c>
      <c r="J38" s="5">
        <v>2009.0</v>
      </c>
      <c r="K38" s="5" t="s">
        <v>59</v>
      </c>
      <c r="L38" s="5" t="s">
        <v>17</v>
      </c>
      <c r="M38" s="5" t="s">
        <v>176</v>
      </c>
      <c r="N38" s="6"/>
      <c r="O38" s="4"/>
    </row>
    <row r="39">
      <c r="A39" s="5" t="s">
        <v>177</v>
      </c>
      <c r="B39" s="5" t="s">
        <v>178</v>
      </c>
      <c r="C39" s="5" t="str">
        <f>IFERROR(__xludf.DUMMYFUNCTION("LOWER(TRIM(REGEXREPLACE(B39, ""[[:punct:]]"", """")))"),"yolov8tf transformerenhanced yolov8 for underwater fish species recognition with class imbalance handling")</f>
        <v>yolov8tf transformerenhanced yolov8 for underwater fish species recognition with class imbalance handling</v>
      </c>
      <c r="D39" s="5" t="s">
        <v>179</v>
      </c>
      <c r="E39" s="5">
        <v>25.0</v>
      </c>
      <c r="F39" s="5"/>
      <c r="G39" s="5"/>
      <c r="H39" s="5">
        <v>6.0</v>
      </c>
      <c r="I39" s="5">
        <v>1846.0</v>
      </c>
      <c r="J39" s="5">
        <v>2025.0</v>
      </c>
      <c r="K39" s="5" t="s">
        <v>180</v>
      </c>
      <c r="L39" s="5" t="s">
        <v>181</v>
      </c>
      <c r="M39" s="6"/>
      <c r="N39" s="6"/>
      <c r="O39" s="4"/>
    </row>
    <row r="40">
      <c r="A40" s="5" t="s">
        <v>182</v>
      </c>
      <c r="B40" s="5" t="s">
        <v>183</v>
      </c>
      <c r="C40" s="5" t="str">
        <f>IFERROR(__xludf.DUMMYFUNCTION("LOWER(TRIM(REGEXREPLACE(B40, ""[[:punct:]]"", """")))"),"underwater hyperspectral imaging of arctic macroalgal habitats during the polar night using a novel minirovuhi portable system")</f>
        <v>underwater hyperspectral imaging of arctic macroalgal habitats during the polar night using a novel minirovuhi portable system</v>
      </c>
      <c r="D40" s="5" t="s">
        <v>184</v>
      </c>
      <c r="E40" s="5">
        <v>14.0</v>
      </c>
      <c r="F40" s="5"/>
      <c r="G40" s="5"/>
      <c r="H40" s="5">
        <v>6.0</v>
      </c>
      <c r="I40" s="5">
        <v>1325.0</v>
      </c>
      <c r="J40" s="5">
        <v>2022.0</v>
      </c>
      <c r="K40" s="5" t="s">
        <v>180</v>
      </c>
      <c r="L40" s="5" t="s">
        <v>185</v>
      </c>
      <c r="M40" s="6"/>
      <c r="N40" s="6"/>
      <c r="O40" s="4"/>
    </row>
    <row r="41">
      <c r="A41" s="5" t="s">
        <v>186</v>
      </c>
      <c r="B41" s="5" t="s">
        <v>187</v>
      </c>
      <c r="C41" s="5" t="str">
        <f>IFERROR(__xludf.DUMMYFUNCTION("LOWER(TRIM(REGEXREPLACE(B41, ""[[:punct:]]"", """")))"),"assessment of intertidal seaweed biomass based on rgb imagery")</f>
        <v>assessment of intertidal seaweed biomass based on rgb imagery</v>
      </c>
      <c r="D41" s="5" t="s">
        <v>188</v>
      </c>
      <c r="E41" s="5">
        <v>17.0</v>
      </c>
      <c r="F41" s="5"/>
      <c r="G41" s="5"/>
      <c r="H41" s="5">
        <v>2.0</v>
      </c>
      <c r="I41" s="5" t="s">
        <v>189</v>
      </c>
      <c r="J41" s="5">
        <v>2022.0</v>
      </c>
      <c r="K41" s="5" t="s">
        <v>147</v>
      </c>
      <c r="L41" s="5" t="s">
        <v>190</v>
      </c>
      <c r="M41" s="6"/>
      <c r="N41" s="6"/>
      <c r="O41" s="4"/>
    </row>
    <row r="42">
      <c r="A42" s="5" t="s">
        <v>191</v>
      </c>
      <c r="B42" s="5" t="s">
        <v>192</v>
      </c>
      <c r="C42" s="5" t="str">
        <f>IFERROR(__xludf.DUMMYFUNCTION("LOWER(TRIM(REGEXREPLACE(B42, ""[[:punct:]]"", """")))"),"modelling the seasonal distribution of macrozoobenthos in intertidal areas of the dtuch wadden sea using novel rmeote sensing and deep learning methods")</f>
        <v>modelling the seasonal distribution of macrozoobenthos in intertidal areas of the dtuch wadden sea using novel rmeote sensing and deep learning methods</v>
      </c>
      <c r="D42" s="6"/>
      <c r="E42" s="6"/>
      <c r="F42" s="6"/>
      <c r="G42" s="6"/>
      <c r="H42" s="6"/>
      <c r="I42" s="6"/>
      <c r="J42" s="5">
        <v>2023.0</v>
      </c>
      <c r="K42" s="5" t="s">
        <v>193</v>
      </c>
      <c r="L42" s="5" t="s">
        <v>17</v>
      </c>
      <c r="M42" s="5" t="s">
        <v>194</v>
      </c>
      <c r="N42" s="6"/>
      <c r="O42" s="4"/>
    </row>
    <row r="43">
      <c r="A43" s="5" t="s">
        <v>195</v>
      </c>
      <c r="B43" s="5" t="s">
        <v>196</v>
      </c>
      <c r="C43" s="5" t="str">
        <f>IFERROR(__xludf.DUMMYFUNCTION("LOWER(TRIM(REGEXREPLACE(B43, ""[[:punct:]]"", """")))"),"multidimensional characterization of pelagic habitats and the potential to detect ecological niches in a highly dynamic ecosystem")</f>
        <v>multidimensional characterization of pelagic habitats and the potential to detect ecological niches in a highly dynamic ecosystem</v>
      </c>
      <c r="D43" s="6"/>
      <c r="E43" s="6"/>
      <c r="F43" s="6"/>
      <c r="G43" s="6"/>
      <c r="H43" s="6"/>
      <c r="I43" s="6"/>
      <c r="J43" s="5">
        <v>2023.0</v>
      </c>
      <c r="K43" s="5" t="s">
        <v>197</v>
      </c>
      <c r="L43" s="5" t="s">
        <v>198</v>
      </c>
      <c r="M43" s="6"/>
      <c r="N43" s="6"/>
      <c r="O43" s="4"/>
    </row>
    <row r="44">
      <c r="A44" s="5" t="s">
        <v>199</v>
      </c>
      <c r="B44" s="5" t="s">
        <v>200</v>
      </c>
      <c r="C44" s="5" t="str">
        <f>IFERROR(__xludf.DUMMYFUNCTION("LOWER(TRIM(REGEXREPLACE(B44, ""[[:punct:]]"", """")))"),"a fault diagnosis method for auvs based on metaselfattentive variablescale cnn")</f>
        <v>a fault diagnosis method for auvs based on metaselfattentive variablescale cnn</v>
      </c>
      <c r="D44" s="5" t="s">
        <v>201</v>
      </c>
      <c r="E44" s="6"/>
      <c r="F44" s="6"/>
      <c r="G44" s="6"/>
      <c r="H44" s="6"/>
      <c r="I44" s="5" t="s">
        <v>202</v>
      </c>
      <c r="J44" s="5">
        <v>2023.0</v>
      </c>
      <c r="K44" s="5" t="s">
        <v>203</v>
      </c>
      <c r="L44" s="5" t="s">
        <v>17</v>
      </c>
      <c r="M44" s="5" t="s">
        <v>204</v>
      </c>
      <c r="N44" s="6"/>
      <c r="O44" s="4"/>
    </row>
    <row r="45">
      <c r="A45" s="5" t="s">
        <v>205</v>
      </c>
      <c r="B45" s="5" t="s">
        <v>206</v>
      </c>
      <c r="C45" s="5" t="str">
        <f>IFERROR(__xludf.DUMMYFUNCTION("LOWER(TRIM(REGEXREPLACE(B45, ""[[:punct:]]"", """")))"),"multiobject reconstruction of plankton digital holograms")</f>
        <v>multiobject reconstruction of plankton digital holograms</v>
      </c>
      <c r="D45" s="5" t="s">
        <v>207</v>
      </c>
      <c r="E45" s="5">
        <v>83.0</v>
      </c>
      <c r="F45" s="5"/>
      <c r="G45" s="5"/>
      <c r="H45" s="5">
        <v>17.0</v>
      </c>
      <c r="I45" s="5" t="s">
        <v>208</v>
      </c>
      <c r="J45" s="5">
        <v>2024.0</v>
      </c>
      <c r="K45" s="5" t="s">
        <v>209</v>
      </c>
      <c r="L45" s="5" t="s">
        <v>17</v>
      </c>
      <c r="M45" s="5" t="s">
        <v>210</v>
      </c>
      <c r="N45" s="6"/>
      <c r="O45" s="4"/>
    </row>
    <row r="46">
      <c r="A46" s="5" t="s">
        <v>211</v>
      </c>
      <c r="B46" s="5" t="s">
        <v>212</v>
      </c>
      <c r="C46" s="5" t="str">
        <f>IFERROR(__xludf.DUMMYFUNCTION("LOWER(TRIM(REGEXREPLACE(B46, ""[[:punct:]]"", """")))"),"baiting and citizen science a comparative study of bruvs and edna surveys throughout estuaries in new south wales")</f>
        <v>baiting and citizen science a comparative study of bruvs and edna surveys throughout estuaries in new south wales</v>
      </c>
      <c r="D46" s="5" t="s">
        <v>213</v>
      </c>
      <c r="E46" s="6"/>
      <c r="F46" s="6"/>
      <c r="G46" s="6"/>
      <c r="H46" s="6"/>
      <c r="I46" s="6"/>
      <c r="J46" s="5">
        <v>2023.0</v>
      </c>
      <c r="K46" s="6"/>
      <c r="L46" s="5" t="s">
        <v>214</v>
      </c>
      <c r="M46" s="6"/>
      <c r="N46" s="6"/>
      <c r="O46" s="4"/>
    </row>
    <row r="47">
      <c r="A47" s="5" t="s">
        <v>215</v>
      </c>
      <c r="B47" s="5" t="s">
        <v>216</v>
      </c>
      <c r="C47" s="5" t="str">
        <f>IFERROR(__xludf.DUMMYFUNCTION("LOWER(TRIM(REGEXREPLACE(B47, ""[[:punct:]]"", """")))"),"effects of habitat fragmentation of a mediterranean marine reef on the associated fish community insights from biological traits analysis")</f>
        <v>effects of habitat fragmentation of a mediterranean marine reef on the associated fish community insights from biological traits analysis</v>
      </c>
      <c r="D47" s="5" t="s">
        <v>217</v>
      </c>
      <c r="E47" s="5">
        <v>11.0</v>
      </c>
      <c r="F47" s="5"/>
      <c r="G47" s="5"/>
      <c r="H47" s="5">
        <v>10.0</v>
      </c>
      <c r="I47" s="5">
        <v>1957.0</v>
      </c>
      <c r="J47" s="5">
        <v>2023.0</v>
      </c>
      <c r="K47" s="5" t="s">
        <v>180</v>
      </c>
      <c r="L47" s="5" t="s">
        <v>218</v>
      </c>
      <c r="M47" s="6"/>
      <c r="N47" s="6"/>
      <c r="O47" s="4"/>
    </row>
    <row r="48">
      <c r="A48" s="5" t="s">
        <v>219</v>
      </c>
      <c r="B48" s="5" t="s">
        <v>220</v>
      </c>
      <c r="C48" s="5" t="str">
        <f>IFERROR(__xludf.DUMMYFUNCTION("LOWER(TRIM(REGEXREPLACE(B48, ""[[:punct:]]"", """")))"),"benthic habitat mapping of mountain top bank within the northern gulf of mexico through integrated geophysical and visual data analysis")</f>
        <v>benthic habitat mapping of mountain top bank within the northern gulf of mexico through integrated geophysical and visual data analysis</v>
      </c>
      <c r="D48" s="6"/>
      <c r="E48" s="6"/>
      <c r="F48" s="6"/>
      <c r="G48" s="6"/>
      <c r="H48" s="6"/>
      <c r="I48" s="6"/>
      <c r="J48" s="5">
        <v>2023.0</v>
      </c>
      <c r="K48" s="6"/>
      <c r="L48" s="5" t="s">
        <v>221</v>
      </c>
      <c r="M48" s="6"/>
      <c r="N48" s="6"/>
      <c r="O48" s="4"/>
    </row>
    <row r="49">
      <c r="A49" s="5" t="s">
        <v>222</v>
      </c>
      <c r="B49" s="5" t="s">
        <v>223</v>
      </c>
      <c r="C49" s="5" t="str">
        <f>IFERROR(__xludf.DUMMYFUNCTION("LOWER(TRIM(REGEXREPLACE(B49, ""[[:punct:]]"", """")))"),"increasing the selectivity of the early notification biosensor system under influence of acoustic vibration")</f>
        <v>increasing the selectivity of the early notification biosensor system under influence of acoustic vibration</v>
      </c>
      <c r="D49" s="5" t="s">
        <v>224</v>
      </c>
      <c r="E49" s="6"/>
      <c r="F49" s="6"/>
      <c r="G49" s="6"/>
      <c r="H49" s="6"/>
      <c r="I49" s="6"/>
      <c r="J49" s="5">
        <v>2023.0</v>
      </c>
      <c r="K49" s="6"/>
      <c r="L49" s="5" t="s">
        <v>17</v>
      </c>
      <c r="M49" s="5" t="s">
        <v>225</v>
      </c>
      <c r="N49" s="6"/>
      <c r="O49" s="4"/>
    </row>
    <row r="50">
      <c r="A50" s="5" t="s">
        <v>226</v>
      </c>
      <c r="B50" s="5" t="s">
        <v>227</v>
      </c>
      <c r="C50" s="5" t="str">
        <f>IFERROR(__xludf.DUMMYFUNCTION("LOWER(TRIM(REGEXREPLACE(B50, ""[[:punct:]]"", """")))"),"data augmentation techniques for machine learning applied to optical spectroscopy datasets in agrifood applications a comprehensive review")</f>
        <v>data augmentation techniques for machine learning applied to optical spectroscopy datasets in agrifood applications a comprehensive review</v>
      </c>
      <c r="D50" s="5" t="s">
        <v>179</v>
      </c>
      <c r="E50" s="5">
        <v>23.0</v>
      </c>
      <c r="F50" s="5"/>
      <c r="G50" s="5"/>
      <c r="H50" s="5">
        <v>20.0</v>
      </c>
      <c r="I50" s="5">
        <v>8562.0</v>
      </c>
      <c r="J50" s="5">
        <v>2023.0</v>
      </c>
      <c r="K50" s="5" t="s">
        <v>180</v>
      </c>
      <c r="L50" s="5" t="s">
        <v>228</v>
      </c>
      <c r="M50" s="6"/>
      <c r="N50" s="6"/>
      <c r="O50" s="4"/>
    </row>
    <row r="51">
      <c r="A51" s="5" t="s">
        <v>229</v>
      </c>
      <c r="B51" s="5" t="s">
        <v>230</v>
      </c>
      <c r="C51" s="5" t="str">
        <f>IFERROR(__xludf.DUMMYFUNCTION("LOWER(TRIM(REGEXREPLACE(B51, ""[[:punct:]]"", """")))"),"inference and robotic path planning over high dimensional categorical observations")</f>
        <v>inference and robotic path planning over high dimensional categorical observations</v>
      </c>
      <c r="D51" s="6"/>
      <c r="E51" s="6"/>
      <c r="F51" s="6"/>
      <c r="G51" s="6"/>
      <c r="H51" s="6"/>
      <c r="I51" s="6"/>
      <c r="J51" s="5">
        <v>2024.0</v>
      </c>
      <c r="K51" s="5" t="s">
        <v>231</v>
      </c>
      <c r="L51" s="5" t="s">
        <v>17</v>
      </c>
      <c r="M51" s="5" t="s">
        <v>232</v>
      </c>
      <c r="N51" s="6"/>
      <c r="O51" s="4"/>
    </row>
    <row r="52">
      <c r="A52" s="5" t="s">
        <v>233</v>
      </c>
      <c r="B52" s="5" t="s">
        <v>234</v>
      </c>
      <c r="C52" s="5" t="str">
        <f>IFERROR(__xludf.DUMMYFUNCTION("LOWER(TRIM(REGEXREPLACE(B52, ""[[:punct:]]"", """")))"),"gcvc graph convolution vector distribution calibration for fish group activity recognition")</f>
        <v>gcvc graph convolution vector distribution calibration for fish group activity recognition</v>
      </c>
      <c r="D52" s="5" t="s">
        <v>235</v>
      </c>
      <c r="E52" s="5">
        <v>26.0</v>
      </c>
      <c r="F52" s="6"/>
      <c r="G52" s="6"/>
      <c r="H52" s="6"/>
      <c r="I52" s="5" t="s">
        <v>236</v>
      </c>
      <c r="J52" s="5">
        <v>2023.0</v>
      </c>
      <c r="K52" s="5" t="s">
        <v>16</v>
      </c>
      <c r="L52" s="5" t="s">
        <v>17</v>
      </c>
      <c r="M52" s="5" t="s">
        <v>232</v>
      </c>
      <c r="N52" s="6"/>
      <c r="O52" s="4"/>
    </row>
    <row r="53">
      <c r="A53" s="5" t="s">
        <v>237</v>
      </c>
      <c r="B53" s="5" t="s">
        <v>238</v>
      </c>
      <c r="C53" s="5" t="str">
        <f>IFERROR(__xludf.DUMMYFUNCTION("LOWER(TRIM(REGEXREPLACE(B53, ""[[:punct:]]"", """")))"),"seas in hot water marine heatwaves on the move following the heat")</f>
        <v>seas in hot water marine heatwaves on the move following the heat</v>
      </c>
      <c r="D53" s="6"/>
      <c r="E53" s="6"/>
      <c r="F53" s="6"/>
      <c r="G53" s="6"/>
      <c r="H53" s="6"/>
      <c r="I53" s="6"/>
      <c r="J53" s="5">
        <v>2020.0</v>
      </c>
      <c r="K53" s="5" t="s">
        <v>239</v>
      </c>
      <c r="L53" s="5" t="s">
        <v>17</v>
      </c>
      <c r="M53" s="5" t="s">
        <v>232</v>
      </c>
      <c r="N53" s="6"/>
      <c r="O53" s="4"/>
    </row>
    <row r="54">
      <c r="A54" s="5" t="s">
        <v>240</v>
      </c>
      <c r="B54" s="5" t="s">
        <v>241</v>
      </c>
      <c r="C54" s="5" t="str">
        <f>IFERROR(__xludf.DUMMYFUNCTION("LOWER(TRIM(REGEXREPLACE(B54, ""[[:punct:]]"", """")))"),"remote sensing collaborative classification using multimodal adaptive modulation network")</f>
        <v>remote sensing collaborative classification using multimodal adaptive modulation network</v>
      </c>
      <c r="D54" s="5" t="s">
        <v>242</v>
      </c>
      <c r="E54" s="5">
        <v>62.0</v>
      </c>
      <c r="F54" s="6"/>
      <c r="G54" s="6"/>
      <c r="H54" s="6"/>
      <c r="I54" s="7">
        <v>46034.0</v>
      </c>
      <c r="J54" s="5">
        <v>2024.0</v>
      </c>
      <c r="K54" s="5" t="s">
        <v>16</v>
      </c>
      <c r="L54" s="5" t="s">
        <v>243</v>
      </c>
      <c r="M54" s="6"/>
      <c r="N54" s="6"/>
      <c r="O54" s="4"/>
    </row>
    <row r="55">
      <c r="A55" s="5" t="s">
        <v>244</v>
      </c>
      <c r="B55" s="5" t="s">
        <v>245</v>
      </c>
      <c r="C55" s="5" t="str">
        <f>IFERROR(__xludf.DUMMYFUNCTION("LOWER(TRIM(REGEXREPLACE(B55, ""[[:punct:]]"", """")))"),"fusion classification of hsi and msi using a spatialspectral vision transformer for wetland biodiversity estimation")</f>
        <v>fusion classification of hsi and msi using a spatialspectral vision transformer for wetland biodiversity estimation</v>
      </c>
      <c r="D55" s="5" t="s">
        <v>246</v>
      </c>
      <c r="E55" s="5">
        <v>14.0</v>
      </c>
      <c r="F55" s="5"/>
      <c r="G55" s="5"/>
      <c r="H55" s="5">
        <v>4.0</v>
      </c>
      <c r="I55" s="5">
        <v>850.0</v>
      </c>
      <c r="J55" s="5">
        <v>2022.0</v>
      </c>
      <c r="K55" s="5" t="s">
        <v>180</v>
      </c>
      <c r="L55" s="5" t="s">
        <v>247</v>
      </c>
      <c r="M55" s="6"/>
      <c r="N55" s="6"/>
      <c r="O55" s="4"/>
    </row>
    <row r="56">
      <c r="A56" s="5" t="s">
        <v>248</v>
      </c>
      <c r="B56" s="5" t="s">
        <v>249</v>
      </c>
      <c r="C56" s="5" t="str">
        <f>IFERROR(__xludf.DUMMYFUNCTION("LOWER(TRIM(REGEXREPLACE(B56, ""[[:punct:]]"", """")))"),"bayesian network modelling of complex systems with sparse data ecological case studies")</f>
        <v>bayesian network modelling of complex systems with sparse data ecological case studies</v>
      </c>
      <c r="D56" s="6"/>
      <c r="E56" s="6"/>
      <c r="F56" s="6"/>
      <c r="G56" s="6"/>
      <c r="H56" s="6"/>
      <c r="I56" s="6"/>
      <c r="J56" s="5">
        <v>2022.0</v>
      </c>
      <c r="K56" s="5" t="s">
        <v>250</v>
      </c>
      <c r="L56" s="5" t="s">
        <v>251</v>
      </c>
      <c r="M56" s="6"/>
      <c r="N56" s="6"/>
      <c r="O56" s="4"/>
    </row>
    <row r="57">
      <c r="A57" s="5" t="s">
        <v>252</v>
      </c>
      <c r="B57" s="5" t="s">
        <v>253</v>
      </c>
      <c r="C57" s="5" t="str">
        <f>IFERROR(__xludf.DUMMYFUNCTION("LOWER(TRIM(REGEXREPLACE(B57, ""[[:punct:]]"", """")))"),"a survey on artificial intelligencebased acoustic source identification")</f>
        <v>a survey on artificial intelligencebased acoustic source identification</v>
      </c>
      <c r="D57" s="5" t="s">
        <v>254</v>
      </c>
      <c r="E57" s="5">
        <v>11.0</v>
      </c>
      <c r="F57" s="6"/>
      <c r="G57" s="6"/>
      <c r="H57" s="6"/>
      <c r="I57" s="5" t="s">
        <v>255</v>
      </c>
      <c r="J57" s="5">
        <v>2023.0</v>
      </c>
      <c r="K57" s="5" t="s">
        <v>16</v>
      </c>
      <c r="L57" s="5" t="s">
        <v>256</v>
      </c>
      <c r="M57" s="6"/>
      <c r="N57" s="6"/>
      <c r="O57" s="4"/>
    </row>
    <row r="58">
      <c r="A58" s="5" t="s">
        <v>257</v>
      </c>
      <c r="B58" s="5" t="s">
        <v>258</v>
      </c>
      <c r="C58" s="5" t="str">
        <f>IFERROR(__xludf.DUMMYFUNCTION("LOWER(TRIM(REGEXREPLACE(B58, ""[[:punct:]]"", """")))"),"air–sea fluxes of greenhouse gases and oxygen in the northern benguela current region during upwelling events")</f>
        <v>air–sea fluxes of greenhouse gases and oxygen in the northern benguela current region during upwelling events</v>
      </c>
      <c r="D58" s="5" t="s">
        <v>259</v>
      </c>
      <c r="E58" s="5">
        <v>16.0</v>
      </c>
      <c r="F58" s="5"/>
      <c r="G58" s="5"/>
      <c r="H58" s="5">
        <v>20.0</v>
      </c>
      <c r="I58" s="5" t="s">
        <v>260</v>
      </c>
      <c r="J58" s="5">
        <v>2019.0</v>
      </c>
      <c r="K58" s="5" t="s">
        <v>155</v>
      </c>
      <c r="L58" s="5" t="s">
        <v>261</v>
      </c>
      <c r="M58" s="6"/>
      <c r="N58" s="6"/>
      <c r="O58" s="4"/>
    </row>
    <row r="59">
      <c r="A59" s="5" t="s">
        <v>262</v>
      </c>
      <c r="B59" s="5" t="s">
        <v>263</v>
      </c>
      <c r="C59" s="5" t="str">
        <f>IFERROR(__xludf.DUMMYFUNCTION("LOWER(TRIM(REGEXREPLACE(B59, ""[[:punct:]]"", """")))"),"lmcyclegan improving underwater image quality through learned perceptual image patch similarity and multiscale adaptive fusion attention")</f>
        <v>lmcyclegan improving underwater image quality through learned perceptual image patch similarity and multiscale adaptive fusion attention</v>
      </c>
      <c r="D59" s="5" t="s">
        <v>179</v>
      </c>
      <c r="E59" s="5">
        <v>24.0</v>
      </c>
      <c r="F59" s="5"/>
      <c r="G59" s="5"/>
      <c r="H59" s="5">
        <v>23.0</v>
      </c>
      <c r="I59" s="5">
        <v>7425.0</v>
      </c>
      <c r="J59" s="5">
        <v>2024.0</v>
      </c>
      <c r="K59" s="5" t="s">
        <v>180</v>
      </c>
      <c r="L59" s="5" t="s">
        <v>264</v>
      </c>
      <c r="M59" s="6"/>
      <c r="N59" s="6"/>
      <c r="O59" s="4"/>
    </row>
    <row r="60">
      <c r="A60" s="5" t="s">
        <v>265</v>
      </c>
      <c r="B60" s="5" t="s">
        <v>266</v>
      </c>
      <c r="C60" s="5" t="str">
        <f>IFERROR(__xludf.DUMMYFUNCTION("LOWER(TRIM(REGEXREPLACE(B60, ""[[:punct:]]"", """")))"),"evaluating the effects of multiple environmental stressors on the gulf of alaska pacific cod fishery using a dynamic stressscape framework")</f>
        <v>evaluating the effects of multiple environmental stressors on the gulf of alaska pacific cod fishery using a dynamic stressscape framework</v>
      </c>
      <c r="D60" s="6"/>
      <c r="E60" s="6"/>
      <c r="F60" s="6"/>
      <c r="G60" s="6"/>
      <c r="H60" s="6"/>
      <c r="I60" s="6"/>
      <c r="J60" s="5">
        <v>2020.0</v>
      </c>
      <c r="K60" s="6"/>
      <c r="L60" s="5" t="s">
        <v>267</v>
      </c>
      <c r="M60" s="6"/>
      <c r="N60" s="6"/>
      <c r="O60" s="4"/>
    </row>
    <row r="61">
      <c r="A61" s="5" t="s">
        <v>268</v>
      </c>
      <c r="B61" s="5" t="s">
        <v>269</v>
      </c>
      <c r="C61" s="5" t="str">
        <f>IFERROR(__xludf.DUMMYFUNCTION("LOWER(TRIM(REGEXREPLACE(B61, ""[[:punct:]]"", """")))"),"caractérisation et simulation multiéchelle des mouvements doiseaux marins tropicaux une approche par apprentissage profond")</f>
        <v>caractérisation et simulation multiéchelle des mouvements doiseaux marins tropicaux une approche par apprentissage profond</v>
      </c>
      <c r="D61" s="6"/>
      <c r="E61" s="6"/>
      <c r="F61" s="6"/>
      <c r="G61" s="6"/>
      <c r="H61" s="6"/>
      <c r="I61" s="6"/>
      <c r="J61" s="5">
        <v>2022.0</v>
      </c>
      <c r="K61" s="5" t="s">
        <v>270</v>
      </c>
      <c r="L61" s="5" t="s">
        <v>17</v>
      </c>
      <c r="M61" s="5" t="s">
        <v>271</v>
      </c>
      <c r="N61" s="6"/>
      <c r="O61" s="4"/>
    </row>
    <row r="62">
      <c r="A62" s="5" t="s">
        <v>272</v>
      </c>
      <c r="B62" s="5" t="s">
        <v>273</v>
      </c>
      <c r="C62" s="5" t="str">
        <f>IFERROR(__xludf.DUMMYFUNCTION("LOWER(TRIM(REGEXREPLACE(B62, ""[[:punct:]]"", """")))"),"towards a spatiotemporal data model for traditional ecological knowledgeindigenous knowledge")</f>
        <v>towards a spatiotemporal data model for traditional ecological knowledgeindigenous knowledge</v>
      </c>
      <c r="D62" s="5" t="s">
        <v>274</v>
      </c>
      <c r="E62" s="5">
        <v>55.0</v>
      </c>
      <c r="F62" s="5"/>
      <c r="G62" s="5"/>
      <c r="H62" s="5">
        <v>1.0</v>
      </c>
      <c r="I62" s="5" t="s">
        <v>275</v>
      </c>
      <c r="J62" s="5">
        <v>2020.0</v>
      </c>
      <c r="K62" s="5" t="s">
        <v>276</v>
      </c>
      <c r="L62" s="5" t="s">
        <v>277</v>
      </c>
      <c r="M62" s="6"/>
      <c r="N62" s="6"/>
      <c r="O62" s="4"/>
    </row>
    <row r="63">
      <c r="A63" s="5" t="s">
        <v>278</v>
      </c>
      <c r="B63" s="5" t="s">
        <v>279</v>
      </c>
      <c r="C63" s="5" t="str">
        <f>IFERROR(__xludf.DUMMYFUNCTION("LOWER(TRIM(REGEXREPLACE(B63, ""[[:punct:]]"", """")))"),"selfsupervised pretraining for finegrained plankton recognition")</f>
        <v>selfsupervised pretraining for finegrained plankton recognition</v>
      </c>
      <c r="D63" s="5" t="s">
        <v>280</v>
      </c>
      <c r="E63" s="6"/>
      <c r="F63" s="6"/>
      <c r="G63" s="6"/>
      <c r="H63" s="6"/>
      <c r="I63" s="5" t="s">
        <v>281</v>
      </c>
      <c r="J63" s="5">
        <v>2025.0</v>
      </c>
      <c r="K63" s="5" t="s">
        <v>16</v>
      </c>
      <c r="L63" s="5" t="s">
        <v>17</v>
      </c>
      <c r="M63" s="5" t="s">
        <v>282</v>
      </c>
      <c r="N63" s="6"/>
      <c r="O63" s="4"/>
    </row>
    <row r="64">
      <c r="A64" s="5" t="s">
        <v>283</v>
      </c>
      <c r="B64" s="5" t="s">
        <v>284</v>
      </c>
      <c r="C64" s="5" t="str">
        <f>IFERROR(__xludf.DUMMYFUNCTION("LOWER(TRIM(REGEXREPLACE(B64, ""[[:punct:]]"", """")))"),"combining highthroughput imaging and amplicon sequencing to monitor eukaryotic plankton")</f>
        <v>combining highthroughput imaging and amplicon sequencing to monitor eukaryotic plankton</v>
      </c>
      <c r="D64" s="6"/>
      <c r="E64" s="6"/>
      <c r="F64" s="6"/>
      <c r="G64" s="6"/>
      <c r="H64" s="6"/>
      <c r="I64" s="6"/>
      <c r="J64" s="5">
        <v>2021.0</v>
      </c>
      <c r="K64" s="6"/>
      <c r="L64" s="5" t="s">
        <v>17</v>
      </c>
      <c r="M64" s="5" t="s">
        <v>285</v>
      </c>
      <c r="N64" s="6"/>
      <c r="O64" s="4"/>
    </row>
    <row r="65">
      <c r="A65" s="5" t="s">
        <v>286</v>
      </c>
      <c r="B65" s="5" t="s">
        <v>287</v>
      </c>
      <c r="C65" s="5" t="str">
        <f>IFERROR(__xludf.DUMMYFUNCTION("LOWER(TRIM(REGEXREPLACE(B65, ""[[:punct:]]"", """")))"),"data variety modeling a case of contextual diversity identification from a bottomup perspective")</f>
        <v>data variety modeling a case of contextual diversity identification from a bottomup perspective</v>
      </c>
      <c r="D65" s="5" t="s">
        <v>288</v>
      </c>
      <c r="E65" s="6"/>
      <c r="F65" s="6"/>
      <c r="G65" s="6"/>
      <c r="H65" s="6"/>
      <c r="I65" s="5" t="s">
        <v>289</v>
      </c>
      <c r="J65" s="5">
        <v>2021.0</v>
      </c>
      <c r="K65" s="5" t="s">
        <v>209</v>
      </c>
      <c r="L65" s="5" t="s">
        <v>290</v>
      </c>
      <c r="M65" s="6"/>
      <c r="N65" s="6"/>
      <c r="O65" s="4"/>
    </row>
    <row r="66">
      <c r="A66" s="5" t="s">
        <v>291</v>
      </c>
      <c r="B66" s="5" t="s">
        <v>292</v>
      </c>
      <c r="C66" s="5" t="str">
        <f>IFERROR(__xludf.DUMMYFUNCTION("LOWER(TRIM(REGEXREPLACE(B66, ""[[:punct:]]"", """")))"),"monitoring and modeling approaches for evaluating managed aquifer recharge mar performance")</f>
        <v>monitoring and modeling approaches for evaluating managed aquifer recharge mar performance</v>
      </c>
      <c r="D66" s="6"/>
      <c r="E66" s="6"/>
      <c r="F66" s="6"/>
      <c r="G66" s="6"/>
      <c r="H66" s="6"/>
      <c r="I66" s="6"/>
      <c r="J66" s="5">
        <v>2024.0</v>
      </c>
      <c r="K66" s="6"/>
      <c r="L66" s="5" t="s">
        <v>293</v>
      </c>
      <c r="M66" s="6"/>
      <c r="N66" s="6"/>
      <c r="O66" s="4"/>
    </row>
    <row r="67">
      <c r="A67" s="5" t="s">
        <v>294</v>
      </c>
      <c r="B67" s="5" t="s">
        <v>295</v>
      </c>
      <c r="C67" s="5" t="str">
        <f>IFERROR(__xludf.DUMMYFUNCTION("LOWER(TRIM(REGEXREPLACE(B67, ""[[:punct:]]"", """")))"),"a model of reusable assets in aie software systems")</f>
        <v>a model of reusable assets in aie software systems</v>
      </c>
      <c r="D67" s="5" t="s">
        <v>296</v>
      </c>
      <c r="E67" s="5">
        <v>23.0</v>
      </c>
      <c r="F67" s="6"/>
      <c r="G67" s="6"/>
      <c r="H67" s="6"/>
      <c r="I67" s="6"/>
      <c r="J67" s="5">
        <v>2023.0</v>
      </c>
      <c r="K67" s="6"/>
      <c r="L67" s="5" t="s">
        <v>297</v>
      </c>
      <c r="M67" s="6"/>
      <c r="N67" s="6"/>
      <c r="O67" s="4"/>
    </row>
    <row r="68">
      <c r="A68" s="5" t="s">
        <v>298</v>
      </c>
      <c r="B68" s="5" t="s">
        <v>299</v>
      </c>
      <c r="C68" s="5" t="str">
        <f>IFERROR(__xludf.DUMMYFUNCTION("LOWER(TRIM(REGEXREPLACE(B68, ""[[:punct:]]"", """")))"),"toward new data and information management solutions for dataintensive ecological research")</f>
        <v>toward new data and information management solutions for dataintensive ecological research</v>
      </c>
      <c r="D68" s="6"/>
      <c r="E68" s="6"/>
      <c r="F68" s="6"/>
      <c r="G68" s="6"/>
      <c r="H68" s="6"/>
      <c r="I68" s="6"/>
      <c r="J68" s="5">
        <v>2013.0</v>
      </c>
      <c r="K68" s="5" t="s">
        <v>300</v>
      </c>
      <c r="L68" s="5" t="s">
        <v>301</v>
      </c>
      <c r="M68" s="6"/>
      <c r="N68" s="6"/>
      <c r="O68" s="4"/>
    </row>
    <row r="69">
      <c r="A69" s="5" t="s">
        <v>302</v>
      </c>
      <c r="B69" s="5" t="s">
        <v>303</v>
      </c>
      <c r="C69" s="5" t="str">
        <f>IFERROR(__xludf.DUMMYFUNCTION("LOWER(TRIM(REGEXREPLACE(B69, ""[[:punct:]]"", """")))"),"carbon sequestration in coastal ecosystems a review of modeling techniques and applications")</f>
        <v>carbon sequestration in coastal ecosystems a review of modeling techniques and applications</v>
      </c>
      <c r="D69" s="5" t="s">
        <v>304</v>
      </c>
      <c r="E69" s="6"/>
      <c r="F69" s="6"/>
      <c r="G69" s="6"/>
      <c r="H69" s="6"/>
      <c r="I69" s="6"/>
      <c r="J69" s="5">
        <v>2024.0</v>
      </c>
      <c r="K69" s="6"/>
      <c r="L69" s="5" t="s">
        <v>305</v>
      </c>
      <c r="M69" s="6"/>
      <c r="N69" s="6"/>
      <c r="O69" s="4"/>
    </row>
    <row r="70">
      <c r="A70" s="5" t="s">
        <v>306</v>
      </c>
      <c r="B70" s="5" t="s">
        <v>307</v>
      </c>
      <c r="C70" s="5" t="str">
        <f>IFERROR(__xludf.DUMMYFUNCTION("LOWER(TRIM(REGEXREPLACE(B70, ""[[:punct:]]"", """")))"),"videomonitoring tools for assessing beach morphodynamics in tidal beaches")</f>
        <v>videomonitoring tools for assessing beach morphodynamics in tidal beaches</v>
      </c>
      <c r="D70" s="5" t="s">
        <v>246</v>
      </c>
      <c r="E70" s="5">
        <v>15.0</v>
      </c>
      <c r="F70" s="5"/>
      <c r="G70" s="5"/>
      <c r="H70" s="5">
        <v>10.0</v>
      </c>
      <c r="I70" s="5">
        <v>2650.0</v>
      </c>
      <c r="J70" s="5">
        <v>2023.0</v>
      </c>
      <c r="K70" s="5" t="s">
        <v>180</v>
      </c>
      <c r="L70" s="5" t="s">
        <v>308</v>
      </c>
      <c r="M70" s="6"/>
      <c r="N70" s="6"/>
      <c r="O70" s="4"/>
    </row>
    <row r="71">
      <c r="A71" s="5" t="s">
        <v>309</v>
      </c>
      <c r="B71" s="5" t="s">
        <v>310</v>
      </c>
      <c r="C71" s="5" t="str">
        <f>IFERROR(__xludf.DUMMYFUNCTION("LOWER(TRIM(REGEXREPLACE(B71, ""[[:punct:]]"", """")))"),"using edna to assess how estuarine fish communities respond to consecutive extreme events of drought bushfire and flood")</f>
        <v>using edna to assess how estuarine fish communities respond to consecutive extreme events of drought bushfire and flood</v>
      </c>
      <c r="D71" s="5" t="s">
        <v>213</v>
      </c>
      <c r="E71" s="6"/>
      <c r="F71" s="6"/>
      <c r="G71" s="6"/>
      <c r="H71" s="6"/>
      <c r="I71" s="6"/>
      <c r="J71" s="5">
        <v>2023.0</v>
      </c>
      <c r="K71" s="6"/>
      <c r="L71" s="5" t="s">
        <v>311</v>
      </c>
      <c r="M71" s="6"/>
      <c r="N71" s="6"/>
      <c r="O71" s="4"/>
    </row>
    <row r="72">
      <c r="A72" s="5" t="s">
        <v>312</v>
      </c>
      <c r="B72" s="5" t="s">
        <v>313</v>
      </c>
      <c r="C72" s="5" t="str">
        <f>IFERROR(__xludf.DUMMYFUNCTION("LOWER(TRIM(REGEXREPLACE(B72, ""[[:punct:]]"", """")))"),"market dynamics of blue swimming crab exports to the united states of america a comparative analysis with red and venezuelan crab price trend 20182022")</f>
        <v>market dynamics of blue swimming crab exports to the united states of america a comparative analysis with red and venezuelan crab price trend 20182022</v>
      </c>
      <c r="D72" s="5" t="s">
        <v>314</v>
      </c>
      <c r="E72" s="5">
        <v>17.0</v>
      </c>
      <c r="F72" s="5"/>
      <c r="G72" s="5"/>
      <c r="H72" s="5">
        <v>6.0</v>
      </c>
      <c r="I72" s="5" t="s">
        <v>315</v>
      </c>
      <c r="J72" s="5">
        <v>2024.0</v>
      </c>
      <c r="K72" s="5" t="s">
        <v>316</v>
      </c>
      <c r="L72" s="5" t="s">
        <v>317</v>
      </c>
      <c r="M72" s="6"/>
      <c r="N72" s="6"/>
      <c r="O72" s="4"/>
    </row>
    <row r="73">
      <c r="A73" s="5" t="s">
        <v>318</v>
      </c>
      <c r="B73" s="5" t="s">
        <v>319</v>
      </c>
      <c r="C73" s="5" t="str">
        <f>IFERROR(__xludf.DUMMYFUNCTION("LOWER(TRIM(REGEXREPLACE(B73, ""[[:punct:]]"", """")))"),"employing a convolutional neural network to classify sleep stages from eeg signals using feature reduction techniques")</f>
        <v>employing a convolutional neural network to classify sleep stages from eeg signals using feature reduction techniques</v>
      </c>
      <c r="D73" s="5" t="s">
        <v>320</v>
      </c>
      <c r="E73" s="5">
        <v>17.0</v>
      </c>
      <c r="F73" s="5"/>
      <c r="G73" s="5"/>
      <c r="H73" s="5">
        <v>6.0</v>
      </c>
      <c r="I73" s="5">
        <v>229.0</v>
      </c>
      <c r="J73" s="5">
        <v>2024.0</v>
      </c>
      <c r="K73" s="5" t="s">
        <v>180</v>
      </c>
      <c r="L73" s="5" t="s">
        <v>17</v>
      </c>
      <c r="M73" s="5" t="s">
        <v>321</v>
      </c>
      <c r="N73" s="6"/>
      <c r="O73" s="4"/>
    </row>
    <row r="74">
      <c r="A74" s="5" t="s">
        <v>322</v>
      </c>
      <c r="B74" s="5" t="s">
        <v>323</v>
      </c>
      <c r="C74" s="5" t="str">
        <f>IFERROR(__xludf.DUMMYFUNCTION("LOWER(TRIM(REGEXREPLACE(B74, ""[[:punct:]]"", """")))"),"evolutionary game analysis on technological innovation strategies of marine ranching enterprises considering government’s incentive policies and consumer preferences")</f>
        <v>evolutionary game analysis on technological innovation strategies of marine ranching enterprises considering government’s incentive policies and consumer preferences</v>
      </c>
      <c r="D74" s="5" t="s">
        <v>38</v>
      </c>
      <c r="E74" s="5">
        <v>11.0</v>
      </c>
      <c r="F74" s="6"/>
      <c r="G74" s="6"/>
      <c r="H74" s="6"/>
      <c r="I74" s="5">
        <v>1470846.0</v>
      </c>
      <c r="J74" s="5">
        <v>2024.0</v>
      </c>
      <c r="K74" s="5" t="s">
        <v>39</v>
      </c>
      <c r="L74" s="5" t="s">
        <v>324</v>
      </c>
      <c r="M74" s="6"/>
      <c r="N74" s="6"/>
      <c r="O74" s="4"/>
    </row>
    <row r="75">
      <c r="A75" s="5" t="s">
        <v>325</v>
      </c>
      <c r="B75" s="5" t="s">
        <v>326</v>
      </c>
      <c r="C75" s="5" t="str">
        <f>IFERROR(__xludf.DUMMYFUNCTION("LOWER(TRIM(REGEXREPLACE(B75, ""[[:punct:]]"", """")))"),"mapping oyster habitat quality in matagorda bay through remote sensingderived water quality datasets")</f>
        <v>mapping oyster habitat quality in matagorda bay through remote sensingderived water quality datasets</v>
      </c>
      <c r="D75" s="6"/>
      <c r="E75" s="6"/>
      <c r="F75" s="6"/>
      <c r="G75" s="6"/>
      <c r="H75" s="6"/>
      <c r="I75" s="6"/>
      <c r="J75" s="5">
        <v>2024.0</v>
      </c>
      <c r="K75" s="5" t="s">
        <v>327</v>
      </c>
      <c r="L75" s="5" t="s">
        <v>328</v>
      </c>
      <c r="M75" s="6"/>
      <c r="N75" s="6"/>
      <c r="O75" s="4"/>
    </row>
    <row r="76">
      <c r="A76" s="5" t="s">
        <v>329</v>
      </c>
      <c r="B76" s="5" t="s">
        <v>330</v>
      </c>
      <c r="C76" s="5" t="str">
        <f>IFERROR(__xludf.DUMMYFUNCTION("LOWER(TRIM(REGEXREPLACE(B76, ""[[:punct:]]"", """")))"),"recent advances in counterfeit art document photo hologram and currency detection using hyperspectral imaging")</f>
        <v>recent advances in counterfeit art document photo hologram and currency detection using hyperspectral imaging</v>
      </c>
      <c r="D76" s="5" t="s">
        <v>179</v>
      </c>
      <c r="E76" s="5">
        <v>22.0</v>
      </c>
      <c r="F76" s="5"/>
      <c r="G76" s="5"/>
      <c r="H76" s="5">
        <v>19.0</v>
      </c>
      <c r="I76" s="5">
        <v>7308.0</v>
      </c>
      <c r="J76" s="5">
        <v>2022.0</v>
      </c>
      <c r="K76" s="5" t="s">
        <v>180</v>
      </c>
      <c r="L76" s="5" t="s">
        <v>331</v>
      </c>
      <c r="M76" s="6"/>
      <c r="N76" s="6"/>
      <c r="O76" s="4"/>
    </row>
    <row r="77">
      <c r="A77" s="5" t="s">
        <v>332</v>
      </c>
      <c r="B77" s="5" t="s">
        <v>333</v>
      </c>
      <c r="C77" s="5" t="str">
        <f>IFERROR(__xludf.DUMMYFUNCTION("LOWER(TRIM(REGEXREPLACE(B77, ""[[:punct:]]"", """")))"),"data stewardship maturity report for water column sonar data")</f>
        <v>data stewardship maturity report for water column sonar data</v>
      </c>
      <c r="D77" s="6"/>
      <c r="E77" s="6"/>
      <c r="F77" s="6"/>
      <c r="G77" s="6"/>
      <c r="H77" s="6"/>
      <c r="I77" s="6"/>
      <c r="J77" s="5">
        <v>2021.0</v>
      </c>
      <c r="K77" s="6"/>
      <c r="L77" s="5" t="s">
        <v>334</v>
      </c>
      <c r="M77" s="6"/>
      <c r="N77" s="6"/>
      <c r="O77" s="4"/>
    </row>
    <row r="78">
      <c r="A78" s="5" t="s">
        <v>335</v>
      </c>
      <c r="B78" s="5" t="s">
        <v>336</v>
      </c>
      <c r="C78" s="5" t="str">
        <f>IFERROR(__xludf.DUMMYFUNCTION("LOWER(TRIM(REGEXREPLACE(B78, ""[[:punct:]]"", """")))"),"empowering water utilities crafting an enduserfriendly reliability ranking for evaluating satellite remote sensing advances through literature insights")</f>
        <v>empowering water utilities crafting an enduserfriendly reliability ranking for evaluating satellite remote sensing advances through literature insights</v>
      </c>
      <c r="D78" s="5" t="s">
        <v>337</v>
      </c>
      <c r="E78" s="5">
        <v>60.0</v>
      </c>
      <c r="F78" s="5"/>
      <c r="G78" s="5"/>
      <c r="H78" s="5">
        <v>1.0</v>
      </c>
      <c r="I78" s="5" t="s">
        <v>338</v>
      </c>
      <c r="J78" s="5">
        <v>2025.0</v>
      </c>
      <c r="K78" s="5" t="s">
        <v>339</v>
      </c>
      <c r="L78" s="5" t="s">
        <v>340</v>
      </c>
      <c r="M78" s="6"/>
      <c r="N78" s="6"/>
      <c r="O78" s="4"/>
    </row>
    <row r="79">
      <c r="A79" s="5" t="s">
        <v>341</v>
      </c>
      <c r="B79" s="5" t="s">
        <v>342</v>
      </c>
      <c r="C79" s="5" t="str">
        <f>IFERROR(__xludf.DUMMYFUNCTION("LOWER(TRIM(REGEXREPLACE(B79, ""[[:punct:]]"", """")))"),"short book reviews")</f>
        <v>short book reviews</v>
      </c>
      <c r="D79" s="5" t="s">
        <v>343</v>
      </c>
      <c r="E79" s="5">
        <v>80.0</v>
      </c>
      <c r="F79" s="5"/>
      <c r="G79" s="5"/>
      <c r="H79" s="5">
        <v>1.0</v>
      </c>
      <c r="I79" s="5" t="s">
        <v>344</v>
      </c>
      <c r="J79" s="5">
        <v>2012.0</v>
      </c>
      <c r="K79" s="6"/>
      <c r="L79" s="5" t="s">
        <v>345</v>
      </c>
      <c r="M79" s="6"/>
      <c r="N79" s="6"/>
      <c r="O79" s="4"/>
    </row>
    <row r="80">
      <c r="A80" s="5" t="s">
        <v>346</v>
      </c>
      <c r="B80" s="5" t="s">
        <v>347</v>
      </c>
      <c r="C80" s="5" t="str">
        <f>IFERROR(__xludf.DUMMYFUNCTION("LOWER(TRIM(REGEXREPLACE(B80, ""[[:punct:]]"", """")))"),"reexamining the assumption of dominant regional wind and fire spread directions")</f>
        <v>reexamining the assumption of dominant regional wind and fire spread directions</v>
      </c>
      <c r="D80" s="5" t="s">
        <v>348</v>
      </c>
      <c r="E80" s="5">
        <v>31.0</v>
      </c>
      <c r="F80" s="5"/>
      <c r="G80" s="5"/>
      <c r="H80" s="5">
        <v>5.0</v>
      </c>
      <c r="I80" s="5" t="s">
        <v>349</v>
      </c>
      <c r="J80" s="5">
        <v>2022.0</v>
      </c>
      <c r="K80" s="5" t="s">
        <v>350</v>
      </c>
      <c r="L80" s="5" t="s">
        <v>351</v>
      </c>
      <c r="M80" s="6"/>
      <c r="N80" s="6"/>
      <c r="O80" s="4"/>
    </row>
    <row r="81">
      <c r="A81" s="5" t="s">
        <v>352</v>
      </c>
      <c r="B81" s="5" t="s">
        <v>353</v>
      </c>
      <c r="C81" s="5" t="str">
        <f>IFERROR(__xludf.DUMMYFUNCTION("LOWER(TRIM(REGEXREPLACE(B81, ""[[:punct:]]"", """")))"),"metagenomic analysis of spring and stream waters in the chesapeake and ohio canal national historical park")</f>
        <v>metagenomic analysis of spring and stream waters in the chesapeake and ohio canal national historical park</v>
      </c>
      <c r="D81" s="6"/>
      <c r="E81" s="6"/>
      <c r="F81" s="6"/>
      <c r="G81" s="6"/>
      <c r="H81" s="6"/>
      <c r="I81" s="6"/>
      <c r="J81" s="5">
        <v>2015.0</v>
      </c>
      <c r="K81" s="5" t="s">
        <v>354</v>
      </c>
      <c r="L81" s="5" t="s">
        <v>355</v>
      </c>
      <c r="M81" s="6"/>
      <c r="N81" s="6"/>
      <c r="O81" s="4"/>
    </row>
    <row r="82">
      <c r="A82" s="5" t="s">
        <v>356</v>
      </c>
      <c r="B82" s="5" t="s">
        <v>357</v>
      </c>
      <c r="C82" s="5" t="str">
        <f>IFERROR(__xludf.DUMMYFUNCTION("LOWER(TRIM(REGEXREPLACE(B82, ""[[:punct:]]"", """")))"),"impact of subsurface methane transport on shallow marine sediment geochemistry")</f>
        <v>impact of subsurface methane transport on shallow marine sediment geochemistry</v>
      </c>
      <c r="D82" s="6"/>
      <c r="E82" s="6"/>
      <c r="F82" s="6"/>
      <c r="G82" s="6"/>
      <c r="H82" s="6"/>
      <c r="I82" s="6"/>
      <c r="J82" s="5">
        <v>2020.0</v>
      </c>
      <c r="K82" s="5" t="s">
        <v>327</v>
      </c>
      <c r="L82" s="5" t="s">
        <v>358</v>
      </c>
      <c r="M82" s="6"/>
      <c r="N82" s="6"/>
      <c r="O82" s="4"/>
    </row>
    <row r="83">
      <c r="A83" s="5" t="s">
        <v>359</v>
      </c>
      <c r="B83" s="5" t="s">
        <v>360</v>
      </c>
      <c r="C83" s="5" t="str">
        <f>IFERROR(__xludf.DUMMYFUNCTION("LOWER(TRIM(REGEXREPLACE(B83, ""[[:punct:]]"", """")))"),"statistical data mining methods in predicting happiness and habits")</f>
        <v>statistical data mining methods in predicting happiness and habits</v>
      </c>
      <c r="D83" s="5" t="s">
        <v>361</v>
      </c>
      <c r="E83" s="5">
        <v>64.0</v>
      </c>
      <c r="F83" s="6"/>
      <c r="G83" s="6"/>
      <c r="H83" s="6"/>
      <c r="I83" s="5">
        <v>1019.0</v>
      </c>
      <c r="J83" s="5">
        <v>2024.0</v>
      </c>
      <c r="K83" s="5" t="s">
        <v>362</v>
      </c>
      <c r="L83" s="5" t="s">
        <v>363</v>
      </c>
      <c r="M83" s="6"/>
      <c r="N83" s="6"/>
      <c r="O83" s="4"/>
    </row>
    <row r="84">
      <c r="A84" s="5" t="s">
        <v>364</v>
      </c>
      <c r="B84" s="5" t="s">
        <v>365</v>
      </c>
      <c r="C84" s="5" t="str">
        <f>IFERROR(__xludf.DUMMYFUNCTION("LOWER(TRIM(REGEXREPLACE(B84, ""[[:punct:]]"", """")))"),"dynamics of phytoplankton populations in irrigation ponds")</f>
        <v>dynamics of phytoplankton populations in irrigation ponds</v>
      </c>
      <c r="D84" s="6"/>
      <c r="E84" s="6"/>
      <c r="F84" s="6"/>
      <c r="G84" s="6"/>
      <c r="H84" s="6"/>
      <c r="I84" s="6"/>
      <c r="J84" s="5">
        <v>2022.0</v>
      </c>
      <c r="K84" s="5" t="s">
        <v>366</v>
      </c>
      <c r="L84" s="5" t="s">
        <v>367</v>
      </c>
      <c r="M84" s="6"/>
      <c r="N84" s="6"/>
      <c r="O84" s="4"/>
    </row>
    <row r="85">
      <c r="A85" s="5" t="s">
        <v>368</v>
      </c>
      <c r="B85" s="5" t="s">
        <v>369</v>
      </c>
      <c r="C85" s="5" t="str">
        <f>IFERROR(__xludf.DUMMYFUNCTION("LOWER(TRIM(REGEXREPLACE(B85, ""[[:punct:]]"", """")))"),"enmap science plan")</f>
        <v>enmap science plan</v>
      </c>
      <c r="D85" s="6"/>
      <c r="E85" s="6"/>
      <c r="F85" s="6"/>
      <c r="G85" s="6"/>
      <c r="H85" s="6"/>
      <c r="I85" s="6"/>
      <c r="J85" s="5">
        <v>2016.0</v>
      </c>
      <c r="K85" s="5" t="s">
        <v>370</v>
      </c>
      <c r="L85" s="5" t="s">
        <v>371</v>
      </c>
      <c r="M85" s="6"/>
      <c r="N85" s="6"/>
      <c r="O85" s="4"/>
    </row>
    <row r="86">
      <c r="A86" s="5" t="s">
        <v>372</v>
      </c>
      <c r="B86" s="5" t="s">
        <v>373</v>
      </c>
      <c r="C86" s="5" t="str">
        <f>IFERROR(__xludf.DUMMYFUNCTION("LOWER(TRIM(REGEXREPLACE(B86, ""[[:punct:]]"", """")))"),"active reward learning for corobotic vision based exploration in bandwidth limited environments")</f>
        <v>active reward learning for corobotic vision based exploration in bandwidth limited environments</v>
      </c>
      <c r="D86" s="5" t="s">
        <v>374</v>
      </c>
      <c r="E86" s="6"/>
      <c r="F86" s="6"/>
      <c r="G86" s="6"/>
      <c r="H86" s="6"/>
      <c r="I86" s="5" t="s">
        <v>375</v>
      </c>
      <c r="J86" s="5">
        <v>2020.0</v>
      </c>
      <c r="K86" s="5" t="s">
        <v>16</v>
      </c>
      <c r="L86" s="5" t="s">
        <v>376</v>
      </c>
      <c r="M86" s="6"/>
      <c r="N86" s="6"/>
      <c r="O86" s="4"/>
    </row>
    <row r="87">
      <c r="A87" s="5" t="s">
        <v>377</v>
      </c>
      <c r="B87" s="5" t="s">
        <v>378</v>
      </c>
      <c r="C87" s="5" t="str">
        <f>IFERROR(__xludf.DUMMYFUNCTION("LOWER(TRIM(REGEXREPLACE(B87, ""[[:punct:]]"", """")))"),"modeling ion constituents in the sacramentosan joaquin delta using multiple machine learning approaches")</f>
        <v>modeling ion constituents in the sacramentosan joaquin delta using multiple machine learning approaches</v>
      </c>
      <c r="D87" s="5" t="s">
        <v>379</v>
      </c>
      <c r="E87" s="5">
        <v>25.0</v>
      </c>
      <c r="F87" s="5"/>
      <c r="G87" s="5"/>
      <c r="H87" s="5">
        <v>6.0</v>
      </c>
      <c r="I87" s="5" t="s">
        <v>380</v>
      </c>
      <c r="J87" s="5">
        <v>2023.0</v>
      </c>
      <c r="K87" s="5" t="s">
        <v>339</v>
      </c>
      <c r="L87" s="5" t="s">
        <v>381</v>
      </c>
      <c r="M87" s="6"/>
      <c r="N87" s="6"/>
      <c r="O87" s="4"/>
    </row>
    <row r="88">
      <c r="A88" s="5" t="s">
        <v>382</v>
      </c>
      <c r="B88" s="5" t="s">
        <v>383</v>
      </c>
      <c r="C88" s="5" t="str">
        <f>IFERROR(__xludf.DUMMYFUNCTION("LOWER(TRIM(REGEXREPLACE(B88, ""[[:punct:]]"", """")))"),"intelligent framework design for quality control in industry 40")</f>
        <v>intelligent framework design for quality control in industry 40</v>
      </c>
      <c r="D88" s="5" t="s">
        <v>384</v>
      </c>
      <c r="E88" s="5">
        <v>14.0</v>
      </c>
      <c r="F88" s="5"/>
      <c r="G88" s="5"/>
      <c r="H88" s="5">
        <v>17.0</v>
      </c>
      <c r="I88" s="5">
        <v>7726.0</v>
      </c>
      <c r="J88" s="5">
        <v>2024.0</v>
      </c>
      <c r="K88" s="5" t="s">
        <v>180</v>
      </c>
      <c r="L88" s="5" t="s">
        <v>385</v>
      </c>
      <c r="M88" s="5"/>
      <c r="N88" s="6"/>
      <c r="O88" s="4"/>
    </row>
    <row r="89">
      <c r="A89" s="5" t="s">
        <v>386</v>
      </c>
      <c r="B89" s="5" t="s">
        <v>387</v>
      </c>
      <c r="C89" s="5" t="str">
        <f>IFERROR(__xludf.DUMMYFUNCTION("LOWER(TRIM(REGEXREPLACE(B89, ""[[:punct:]]"", """")))"),"tracking of various targets in the infrared and issues encountered")</f>
        <v>tracking of various targets in the infrared and issues encountered</v>
      </c>
      <c r="D89" s="6"/>
      <c r="E89" s="6"/>
      <c r="F89" s="6"/>
      <c r="G89" s="6"/>
      <c r="H89" s="6"/>
      <c r="I89" s="6"/>
      <c r="J89" s="5">
        <v>2012.0</v>
      </c>
      <c r="K89" s="5" t="s">
        <v>388</v>
      </c>
      <c r="L89" s="5" t="s">
        <v>389</v>
      </c>
      <c r="M89" s="6"/>
      <c r="N89" s="6"/>
      <c r="O89" s="4"/>
    </row>
    <row r="90">
      <c r="A90" s="5" t="s">
        <v>390</v>
      </c>
      <c r="B90" s="5" t="s">
        <v>391</v>
      </c>
      <c r="C90" s="5" t="str">
        <f>IFERROR(__xludf.DUMMYFUNCTION("LOWER(TRIM(REGEXREPLACE(B90, ""[[:punct:]]"", """")))"),"digital enterprise transformation")</f>
        <v>digital enterprise transformation</v>
      </c>
      <c r="D90" s="6"/>
      <c r="E90" s="6"/>
      <c r="F90" s="6"/>
      <c r="G90" s="6"/>
      <c r="H90" s="6"/>
      <c r="I90" s="6"/>
      <c r="J90" s="5">
        <v>2024.0</v>
      </c>
      <c r="K90" s="5" t="s">
        <v>392</v>
      </c>
      <c r="L90" s="5" t="s">
        <v>393</v>
      </c>
      <c r="M90" s="6"/>
      <c r="N90" s="6"/>
      <c r="O90" s="4"/>
    </row>
    <row r="91">
      <c r="A91" s="5" t="s">
        <v>394</v>
      </c>
      <c r="B91" s="5" t="s">
        <v>395</v>
      </c>
      <c r="C91" s="5" t="str">
        <f>IFERROR(__xludf.DUMMYFUNCTION("LOWER(TRIM(REGEXREPLACE(B91, ""[[:punct:]]"", """")))"),"comparing deep learning with several typical methods in prediction of assessing chlorophylla by remote sensing a case study in taihu lake china")</f>
        <v>comparing deep learning with several typical methods in prediction of assessing chlorophylla by remote sensing a case study in taihu lake china</v>
      </c>
      <c r="D91" s="5" t="s">
        <v>396</v>
      </c>
      <c r="E91" s="5">
        <v>21.0</v>
      </c>
      <c r="F91" s="5"/>
      <c r="G91" s="5"/>
      <c r="H91" s="5">
        <v>7.0</v>
      </c>
      <c r="I91" s="5" t="s">
        <v>397</v>
      </c>
      <c r="J91" s="5">
        <v>2021.0</v>
      </c>
      <c r="K91" s="5" t="s">
        <v>339</v>
      </c>
      <c r="L91" s="5" t="s">
        <v>398</v>
      </c>
      <c r="M91" s="6"/>
      <c r="N91" s="6"/>
      <c r="O91" s="4"/>
    </row>
    <row r="92">
      <c r="A92" s="5" t="s">
        <v>399</v>
      </c>
      <c r="B92" s="5" t="s">
        <v>400</v>
      </c>
      <c r="C92" s="5" t="str">
        <f>IFERROR(__xludf.DUMMYFUNCTION("LOWER(TRIM(REGEXREPLACE(B92, ""[[:punct:]]"", """")))"),"transportation modes classification using feature engineering")</f>
        <v>transportation modes classification using feature engineering</v>
      </c>
      <c r="D92" s="5" t="s">
        <v>401</v>
      </c>
      <c r="E92" s="6"/>
      <c r="F92" s="6"/>
      <c r="G92" s="6"/>
      <c r="H92" s="6"/>
      <c r="I92" s="6"/>
      <c r="J92" s="5">
        <v>2018.0</v>
      </c>
      <c r="K92" s="6"/>
      <c r="L92" s="5" t="s">
        <v>402</v>
      </c>
      <c r="M92" s="6"/>
      <c r="N92" s="6"/>
      <c r="O92" s="4"/>
    </row>
    <row r="93">
      <c r="A93" s="5" t="s">
        <v>403</v>
      </c>
      <c r="B93" s="5" t="s">
        <v>404</v>
      </c>
      <c r="C93" s="5" t="str">
        <f>IFERROR(__xludf.DUMMYFUNCTION("LOWER(TRIM(REGEXREPLACE(B93, ""[[:punct:]]"", """")))"),"research on the sentiment analysis and evolutionary mechanism of sudden network public opinion based on snaarima model with text mining")</f>
        <v>research on the sentiment analysis and evolutionary mechanism of sudden network public opinion based on snaarima model with text mining</v>
      </c>
      <c r="D93" s="5" t="s">
        <v>405</v>
      </c>
      <c r="E93" s="5">
        <v>20.0</v>
      </c>
      <c r="F93" s="5"/>
      <c r="G93" s="5"/>
      <c r="H93" s="5">
        <v>2.0</v>
      </c>
      <c r="I93" s="5" t="s">
        <v>406</v>
      </c>
      <c r="J93" s="5">
        <v>2024.0</v>
      </c>
      <c r="K93" s="6"/>
      <c r="L93" s="5" t="s">
        <v>407</v>
      </c>
      <c r="M93" s="6"/>
      <c r="N93" s="6"/>
      <c r="O93" s="4"/>
    </row>
    <row r="94">
      <c r="A94" s="5" t="s">
        <v>408</v>
      </c>
      <c r="B94" s="5" t="s">
        <v>409</v>
      </c>
      <c r="C94" s="5" t="str">
        <f>IFERROR(__xludf.DUMMYFUNCTION("LOWER(TRIM(REGEXREPLACE(B94, ""[[:punct:]]"", """")))"),"from coastal waters to the open ocean dimethylated sulfur compounds in the sw baltic sea the se pacific ocean and the sw indian ocean")</f>
        <v>from coastal waters to the open ocean dimethylated sulfur compounds in the sw baltic sea the se pacific ocean and the sw indian ocean</v>
      </c>
      <c r="D94" s="6"/>
      <c r="E94" s="6"/>
      <c r="F94" s="6"/>
      <c r="G94" s="6"/>
      <c r="H94" s="6"/>
      <c r="I94" s="6"/>
      <c r="J94" s="5">
        <v>2022.0</v>
      </c>
      <c r="K94" s="5" t="s">
        <v>410</v>
      </c>
      <c r="L94" s="5" t="s">
        <v>411</v>
      </c>
      <c r="M94" s="6"/>
      <c r="N94" s="6"/>
      <c r="O94" s="4"/>
    </row>
    <row r="95">
      <c r="A95" s="5" t="s">
        <v>412</v>
      </c>
      <c r="B95" s="5" t="s">
        <v>413</v>
      </c>
      <c r="C95" s="5" t="str">
        <f>IFERROR(__xludf.DUMMYFUNCTION("LOWER(TRIM(REGEXREPLACE(B95, ""[[:punct:]]"", """")))"),"covamat functionality for variety reuse through a supporting tool")</f>
        <v>covamat functionality for variety reuse through a supporting tool</v>
      </c>
      <c r="D95" s="5" t="s">
        <v>414</v>
      </c>
      <c r="E95" s="6"/>
      <c r="F95" s="6"/>
      <c r="G95" s="6"/>
      <c r="H95" s="6"/>
      <c r="I95" s="5" t="s">
        <v>415</v>
      </c>
      <c r="J95" s="5">
        <v>2023.0</v>
      </c>
      <c r="K95" s="5" t="s">
        <v>209</v>
      </c>
      <c r="L95" s="5" t="s">
        <v>416</v>
      </c>
      <c r="M95" s="6"/>
      <c r="N95" s="6"/>
      <c r="O95" s="4"/>
    </row>
    <row r="96">
      <c r="A96" s="5" t="s">
        <v>417</v>
      </c>
      <c r="B96" s="5" t="s">
        <v>418</v>
      </c>
      <c r="C96" s="5" t="str">
        <f>IFERROR(__xludf.DUMMYFUNCTION("LOWER(TRIM(REGEXREPLACE(B96, ""[[:punct:]]"", """")))"),"lctcs lowcost and twochannel sparse network for hyperspectral image classification j sun et al")</f>
        <v>lctcs lowcost and twochannel sparse network for hyperspectral image classification j sun et al</v>
      </c>
      <c r="D96" s="5" t="s">
        <v>419</v>
      </c>
      <c r="E96" s="5">
        <v>56.0</v>
      </c>
      <c r="F96" s="5"/>
      <c r="G96" s="5"/>
      <c r="H96" s="5">
        <v>3.0</v>
      </c>
      <c r="I96" s="5">
        <v>181.0</v>
      </c>
      <c r="J96" s="5">
        <v>2024.0</v>
      </c>
      <c r="K96" s="5" t="s">
        <v>420</v>
      </c>
      <c r="L96" s="5" t="s">
        <v>421</v>
      </c>
      <c r="M96" s="6"/>
      <c r="N96" s="6"/>
      <c r="O96" s="4"/>
    </row>
    <row r="97">
      <c r="A97" s="5" t="s">
        <v>422</v>
      </c>
      <c r="B97" s="5" t="s">
        <v>423</v>
      </c>
      <c r="C97" s="5" t="str">
        <f>IFERROR(__xludf.DUMMYFUNCTION("LOWER(TRIM(REGEXREPLACE(B97, ""[[:punct:]]"", """")))"),"hypermatching similarity matching with extreme values")</f>
        <v>hypermatching similarity matching with extreme values</v>
      </c>
      <c r="D97" s="5" t="s">
        <v>424</v>
      </c>
      <c r="E97" s="5">
        <v>22.0</v>
      </c>
      <c r="F97" s="5"/>
      <c r="G97" s="5"/>
      <c r="H97" s="5">
        <v>4.0</v>
      </c>
      <c r="I97" s="5" t="s">
        <v>425</v>
      </c>
      <c r="J97" s="5">
        <v>2013.0</v>
      </c>
      <c r="K97" s="5" t="s">
        <v>16</v>
      </c>
      <c r="L97" s="5" t="s">
        <v>426</v>
      </c>
      <c r="M97" s="6"/>
      <c r="N97" s="6"/>
      <c r="O97" s="4"/>
    </row>
    <row r="98">
      <c r="A98" s="5" t="s">
        <v>427</v>
      </c>
      <c r="B98" s="5" t="s">
        <v>428</v>
      </c>
      <c r="C98" s="5" t="str">
        <f>IFERROR(__xludf.DUMMYFUNCTION("LOWER(TRIM(REGEXREPLACE(B98, ""[[:punct:]]"", """")))"),"numerical modeling of transport by materially coherent vortices in the ocean")</f>
        <v>numerical modeling of transport by materially coherent vortices in the ocean</v>
      </c>
      <c r="D98" s="6"/>
      <c r="E98" s="6"/>
      <c r="F98" s="6"/>
      <c r="G98" s="6"/>
      <c r="H98" s="6"/>
      <c r="I98" s="6"/>
      <c r="J98" s="5">
        <v>2021.0</v>
      </c>
      <c r="K98" s="5" t="s">
        <v>429</v>
      </c>
      <c r="L98" s="5" t="s">
        <v>430</v>
      </c>
      <c r="M98" s="5"/>
      <c r="N98" s="6"/>
      <c r="O98" s="4"/>
    </row>
    <row r="99">
      <c r="A99" s="5" t="s">
        <v>431</v>
      </c>
      <c r="B99" s="5" t="s">
        <v>432</v>
      </c>
      <c r="C99" s="5" t="str">
        <f>IFERROR(__xludf.DUMMYFUNCTION("LOWER(TRIM(REGEXREPLACE(B99, ""[[:punct:]]"", """")))"),"modelado de variedad de activos de dominio en sistemas big data")</f>
        <v>modelado de variedad de activos de dominio en sistemas big data</v>
      </c>
      <c r="D99" s="5" t="s">
        <v>433</v>
      </c>
      <c r="E99" s="6"/>
      <c r="F99" s="6"/>
      <c r="G99" s="6"/>
      <c r="H99" s="6"/>
      <c r="I99" s="6"/>
      <c r="J99" s="5">
        <v>2022.0</v>
      </c>
      <c r="K99" s="6"/>
      <c r="L99" s="5" t="s">
        <v>434</v>
      </c>
      <c r="M99" s="6"/>
      <c r="N99" s="6"/>
      <c r="O99" s="4"/>
    </row>
    <row r="100">
      <c r="A100" s="5" t="s">
        <v>435</v>
      </c>
      <c r="B100" s="5" t="s">
        <v>436</v>
      </c>
      <c r="C100" s="5" t="str">
        <f>IFERROR(__xludf.DUMMYFUNCTION("LOWER(TRIM(REGEXREPLACE(B100, ""[[:punct:]]"", """")))"),"estimators for longrange dependence an empirical study")</f>
        <v>estimators for longrange dependence an empirical study</v>
      </c>
      <c r="D100" s="5" t="s">
        <v>437</v>
      </c>
      <c r="E100" s="5">
        <v>3.0</v>
      </c>
      <c r="F100" s="5"/>
      <c r="G100" s="5"/>
      <c r="H100" s="5">
        <v>4.0</v>
      </c>
      <c r="I100" s="5" t="s">
        <v>438</v>
      </c>
      <c r="J100" s="5">
        <v>1995.0</v>
      </c>
      <c r="K100" s="5" t="s">
        <v>439</v>
      </c>
      <c r="L100" s="5" t="s">
        <v>440</v>
      </c>
      <c r="M100" s="6"/>
      <c r="N100" s="6"/>
      <c r="O100" s="4"/>
    </row>
    <row r="101">
      <c r="A101" s="5" t="s">
        <v>441</v>
      </c>
      <c r="B101" s="5" t="s">
        <v>442</v>
      </c>
      <c r="C101" s="5" t="str">
        <f>IFERROR(__xludf.DUMMYFUNCTION("LOWER(TRIM(REGEXREPLACE(B101, ""[[:punct:]]"", """")))"),"machine learning application in water quality using satellite data")</f>
        <v>machine learning application in water quality using satellite data</v>
      </c>
      <c r="D101" s="5" t="s">
        <v>443</v>
      </c>
      <c r="E101" s="5">
        <v>842.0</v>
      </c>
      <c r="F101" s="5"/>
      <c r="G101" s="5"/>
      <c r="H101" s="5">
        <v>1.0</v>
      </c>
      <c r="I101" s="5">
        <v>12018.0</v>
      </c>
      <c r="J101" s="5">
        <v>2021.0</v>
      </c>
      <c r="K101" s="5" t="s">
        <v>444</v>
      </c>
      <c r="L101" s="5" t="s">
        <v>445</v>
      </c>
      <c r="M101" s="6"/>
      <c r="N101" s="6"/>
      <c r="O101" s="4"/>
    </row>
    <row r="102">
      <c r="A102" s="5" t="s">
        <v>446</v>
      </c>
      <c r="B102" s="5" t="s">
        <v>447</v>
      </c>
      <c r="C102" s="5" t="str">
        <f>IFERROR(__xludf.DUMMYFUNCTION("LOWER(TRIM(REGEXREPLACE(B102, ""[[:punct:]]"", """")))"),"survey of automatic plankton image recognition challenges existing solutions and future perspectives")</f>
        <v>survey of automatic plankton image recognition challenges existing solutions and future perspectives</v>
      </c>
      <c r="D102" s="5" t="s">
        <v>448</v>
      </c>
      <c r="E102" s="5">
        <v>57.0</v>
      </c>
      <c r="F102" s="5"/>
      <c r="G102" s="5"/>
      <c r="H102" s="5">
        <v>5.0</v>
      </c>
      <c r="I102" s="5">
        <v>114.0</v>
      </c>
      <c r="J102" s="5">
        <v>2024.0</v>
      </c>
      <c r="K102" s="5" t="s">
        <v>209</v>
      </c>
      <c r="L102" s="5" t="s">
        <v>449</v>
      </c>
      <c r="M102" s="6"/>
      <c r="N102" s="6"/>
      <c r="O102" s="4"/>
    </row>
    <row r="103">
      <c r="A103" s="5" t="s">
        <v>450</v>
      </c>
      <c r="B103" s="5" t="s">
        <v>451</v>
      </c>
      <c r="C103" s="5" t="str">
        <f>IFERROR(__xludf.DUMMYFUNCTION("LOWER(TRIM(REGEXREPLACE(B103, ""[[:punct:]]"", """")))"),"clustering ocean structures using armor 3d data for marine pattern recognition")</f>
        <v>clustering ocean structures using armor 3d data for marine pattern recognition</v>
      </c>
      <c r="D103" s="6"/>
      <c r="E103" s="6"/>
      <c r="F103" s="6"/>
      <c r="G103" s="6"/>
      <c r="H103" s="6"/>
      <c r="I103" s="6"/>
      <c r="J103" s="5">
        <v>2025.0</v>
      </c>
      <c r="K103" s="5" t="s">
        <v>452</v>
      </c>
      <c r="L103" s="5" t="s">
        <v>453</v>
      </c>
      <c r="M103" s="6"/>
      <c r="N103" s="6"/>
      <c r="O103" s="4"/>
    </row>
    <row r="104">
      <c r="A104" s="5" t="s">
        <v>454</v>
      </c>
      <c r="B104" s="5" t="s">
        <v>455</v>
      </c>
      <c r="C104" s="5" t="str">
        <f>IFERROR(__xludf.DUMMYFUNCTION("LOWER(TRIM(REGEXREPLACE(B104, ""[[:punct:]]"", """")))"),"computer vision reveals fish behaviour through structural equation modelling of movement patterns")</f>
        <v>computer vision reveals fish behaviour through structural equation modelling of movement patterns</v>
      </c>
      <c r="D104" s="5" t="s">
        <v>456</v>
      </c>
      <c r="E104" s="6"/>
      <c r="F104" s="6"/>
      <c r="G104" s="6"/>
      <c r="H104" s="6"/>
      <c r="I104" s="5">
        <v>64.0</v>
      </c>
      <c r="J104" s="5">
        <v>2022.0</v>
      </c>
      <c r="K104" s="5" t="s">
        <v>457</v>
      </c>
      <c r="L104" s="5" t="s">
        <v>458</v>
      </c>
      <c r="M104" s="6"/>
      <c r="N104" s="6"/>
      <c r="O104" s="4"/>
    </row>
    <row r="105">
      <c r="A105" s="5" t="s">
        <v>459</v>
      </c>
      <c r="B105" s="5" t="s">
        <v>460</v>
      </c>
      <c r="C105" s="5" t="str">
        <f>IFERROR(__xludf.DUMMYFUNCTION("LOWER(TRIM(REGEXREPLACE(B105, ""[[:punct:]]"", """")))"),"development of a reliability evaluation system for dissolved oxygen monitoring data using machine learning")</f>
        <v>development of a reliability evaluation system for dissolved oxygen monitoring data using machine learning</v>
      </c>
      <c r="D105" s="5" t="s">
        <v>461</v>
      </c>
      <c r="E105" s="5">
        <v>19.0</v>
      </c>
      <c r="F105" s="5"/>
      <c r="G105" s="5"/>
      <c r="H105" s="5">
        <v>3.0</v>
      </c>
      <c r="I105" s="5" t="s">
        <v>462</v>
      </c>
      <c r="J105" s="5">
        <v>2025.0</v>
      </c>
      <c r="K105" s="5" t="s">
        <v>463</v>
      </c>
      <c r="L105" s="5" t="s">
        <v>464</v>
      </c>
      <c r="M105" s="6"/>
      <c r="N105" s="6"/>
      <c r="O105" s="4"/>
    </row>
    <row r="106">
      <c r="A106" s="5" t="s">
        <v>465</v>
      </c>
      <c r="B106" s="5" t="s">
        <v>466</v>
      </c>
      <c r="C106" s="5" t="str">
        <f>IFERROR(__xludf.DUMMYFUNCTION("LOWER(TRIM(REGEXREPLACE(B106, ""[[:punct:]]"", """")))"),"demographic insights and spatial distribution of the commersons dolphin cephalorhynchus commersonii off the kerguelen archipelago southern indian ocean")</f>
        <v>demographic insights and spatial distribution of the commersons dolphin cephalorhynchus commersonii off the kerguelen archipelago southern indian ocean</v>
      </c>
      <c r="D106" s="5" t="s">
        <v>467</v>
      </c>
      <c r="E106" s="5">
        <v>51.0</v>
      </c>
      <c r="F106" s="5"/>
      <c r="G106" s="5"/>
      <c r="H106" s="5">
        <v>3.0</v>
      </c>
      <c r="I106" s="5" t="s">
        <v>468</v>
      </c>
      <c r="J106" s="5">
        <v>2025.0</v>
      </c>
      <c r="K106" s="5" t="s">
        <v>467</v>
      </c>
      <c r="L106" s="5" t="s">
        <v>469</v>
      </c>
      <c r="M106" s="6"/>
      <c r="N106" s="6"/>
      <c r="O106" s="4"/>
    </row>
    <row r="107">
      <c r="A107" s="5" t="s">
        <v>470</v>
      </c>
      <c r="B107" s="5" t="s">
        <v>471</v>
      </c>
      <c r="C107" s="5" t="str">
        <f>IFERROR(__xludf.DUMMYFUNCTION("LOWER(TRIM(REGEXREPLACE(B107, ""[[:punct:]]"", """")))"),"role of kmax mapping image annotation method combined with rtree index in civil engineering supervision")</f>
        <v>role of kmax mapping image annotation method combined with rtree index in civil engineering supervision</v>
      </c>
      <c r="D107" s="5" t="s">
        <v>472</v>
      </c>
      <c r="E107" s="5">
        <v>7.0</v>
      </c>
      <c r="F107" s="6"/>
      <c r="G107" s="6"/>
      <c r="H107" s="6"/>
      <c r="I107" s="5">
        <v>200319.0</v>
      </c>
      <c r="J107" s="5">
        <v>2025.0</v>
      </c>
      <c r="K107" s="5" t="s">
        <v>70</v>
      </c>
      <c r="L107" s="5" t="s">
        <v>473</v>
      </c>
      <c r="M107" s="6"/>
      <c r="N107" s="6"/>
      <c r="O107" s="4"/>
    </row>
    <row r="108">
      <c r="A108" s="5" t="s">
        <v>474</v>
      </c>
      <c r="B108" s="5" t="s">
        <v>475</v>
      </c>
      <c r="C108" s="5" t="str">
        <f>IFERROR(__xludf.DUMMYFUNCTION("LOWER(TRIM(REGEXREPLACE(B108, ""[[:punct:]]"", """")))"),"potentially harmful phytoplankton species in the southern part of west coastal waters of south sulawesi")</f>
        <v>potentially harmful phytoplankton species in the southern part of west coastal waters of south sulawesi</v>
      </c>
      <c r="D108" s="5" t="s">
        <v>476</v>
      </c>
      <c r="E108" s="5">
        <v>15.0</v>
      </c>
      <c r="F108" s="5"/>
      <c r="G108" s="5"/>
      <c r="H108" s="5">
        <v>2.0</v>
      </c>
      <c r="I108" s="5" t="s">
        <v>477</v>
      </c>
      <c r="J108" s="5">
        <v>2022.0</v>
      </c>
      <c r="K108" s="5" t="s">
        <v>478</v>
      </c>
      <c r="L108" s="5" t="s">
        <v>17</v>
      </c>
      <c r="M108" s="5" t="s">
        <v>479</v>
      </c>
      <c r="N108" s="6"/>
      <c r="O108" s="4"/>
    </row>
    <row r="109">
      <c r="A109" s="5" t="s">
        <v>480</v>
      </c>
      <c r="B109" s="5" t="s">
        <v>481</v>
      </c>
      <c r="C109" s="5" t="str">
        <f>IFERROR(__xludf.DUMMYFUNCTION("LOWER(TRIM(REGEXREPLACE(B109, ""[[:punct:]]"", """")))"),"integrating aiot technologies in aquaculture a systematic review")</f>
        <v>integrating aiot technologies in aquaculture a systematic review</v>
      </c>
      <c r="D109" s="5" t="s">
        <v>482</v>
      </c>
      <c r="E109" s="5">
        <v>17.0</v>
      </c>
      <c r="F109" s="5"/>
      <c r="G109" s="5"/>
      <c r="H109" s="5">
        <v>5.0</v>
      </c>
      <c r="I109" s="5">
        <v>199.0</v>
      </c>
      <c r="J109" s="5">
        <v>2025.0</v>
      </c>
      <c r="K109" s="5" t="s">
        <v>180</v>
      </c>
      <c r="L109" s="5" t="s">
        <v>483</v>
      </c>
      <c r="M109" s="6"/>
      <c r="N109" s="6"/>
      <c r="O109" s="4"/>
    </row>
    <row r="110">
      <c r="A110" s="5" t="s">
        <v>484</v>
      </c>
      <c r="B110" s="5" t="s">
        <v>485</v>
      </c>
      <c r="C110" s="5" t="str">
        <f>IFERROR(__xludf.DUMMYFUNCTION("LOWER(TRIM(REGEXREPLACE(B110, ""[[:punct:]]"", """")))"),"plankton aerosol cloud and ocean ecosystem pace satellite data for aquaculture and fisheries management")</f>
        <v>plankton aerosol cloud and ocean ecosystem pace satellite data for aquaculture and fisheries management</v>
      </c>
      <c r="D110" s="6"/>
      <c r="E110" s="6"/>
      <c r="F110" s="6"/>
      <c r="G110" s="6"/>
      <c r="H110" s="6"/>
      <c r="I110" s="6"/>
      <c r="J110" s="5">
        <v>2025.0</v>
      </c>
      <c r="K110" s="6"/>
      <c r="L110" s="5" t="s">
        <v>486</v>
      </c>
      <c r="M110" s="6"/>
      <c r="N110" s="6"/>
      <c r="O110" s="4"/>
    </row>
    <row r="111">
      <c r="A111" s="5" t="s">
        <v>487</v>
      </c>
      <c r="B111" s="5" t="s">
        <v>488</v>
      </c>
      <c r="C111" s="5" t="str">
        <f>IFERROR(__xludf.DUMMYFUNCTION("LOWER(TRIM(REGEXREPLACE(B111, ""[[:punct:]]"", """")))"),"conformal taxonomic validation a semiautomated validation framework for citizen science records")</f>
        <v>conformal taxonomic validation a semiautomated validation framework for citizen science records</v>
      </c>
      <c r="D111" s="5" t="s">
        <v>489</v>
      </c>
      <c r="E111" s="5">
        <v>90.0</v>
      </c>
      <c r="F111" s="6"/>
      <c r="G111" s="6"/>
      <c r="H111" s="6"/>
      <c r="I111" s="5">
        <v>103290.0</v>
      </c>
      <c r="J111" s="5">
        <v>2025.0</v>
      </c>
      <c r="K111" s="5" t="s">
        <v>70</v>
      </c>
      <c r="L111" s="5" t="s">
        <v>490</v>
      </c>
      <c r="M111" s="6"/>
      <c r="N111" s="6"/>
      <c r="O111" s="4"/>
    </row>
    <row r="112">
      <c r="A112" s="5" t="s">
        <v>491</v>
      </c>
      <c r="B112" s="5" t="s">
        <v>492</v>
      </c>
      <c r="C112" s="5" t="str">
        <f>IFERROR(__xludf.DUMMYFUNCTION("LOWER(TRIM(REGEXREPLACE(B112, ""[[:punct:]]"", """")))"),"dr bassa satyannarayana")</f>
        <v>dr bassa satyannarayana</v>
      </c>
      <c r="D112" s="6"/>
      <c r="E112" s="6"/>
      <c r="F112" s="6"/>
      <c r="G112" s="6"/>
      <c r="H112" s="6"/>
      <c r="I112" s="6"/>
      <c r="J112" s="5">
        <v>2025.0</v>
      </c>
      <c r="K112" s="6"/>
      <c r="L112" s="5" t="s">
        <v>493</v>
      </c>
      <c r="M112" s="6"/>
      <c r="N112" s="6"/>
      <c r="O112" s="4"/>
    </row>
    <row r="113">
      <c r="A113" s="5" t="s">
        <v>494</v>
      </c>
      <c r="B113" s="5" t="s">
        <v>495</v>
      </c>
      <c r="C113" s="5" t="str">
        <f>IFERROR(__xludf.DUMMYFUNCTION("LOWER(TRIM(REGEXREPLACE(B113, ""[[:punct:]]"", """")))"),"frequency distribution of trap net catching devices the dominant catched in beach water sigeri district pankep regency")</f>
        <v>frequency distribution of trap net catching devices the dominant catched in beach water sigeri district pankep regency</v>
      </c>
      <c r="D113" s="5" t="s">
        <v>476</v>
      </c>
      <c r="E113" s="5">
        <v>14.0</v>
      </c>
      <c r="F113" s="5"/>
      <c r="G113" s="5"/>
      <c r="H113" s="5">
        <v>2.0</v>
      </c>
      <c r="I113" s="5" t="s">
        <v>496</v>
      </c>
      <c r="J113" s="5">
        <v>2021.0</v>
      </c>
      <c r="K113" s="5" t="s">
        <v>478</v>
      </c>
      <c r="L113" s="5" t="s">
        <v>497</v>
      </c>
      <c r="M113" s="6"/>
      <c r="N113" s="6"/>
      <c r="O113" s="4"/>
    </row>
    <row r="114">
      <c r="A114" s="5" t="s">
        <v>498</v>
      </c>
      <c r="B114" s="5" t="s">
        <v>499</v>
      </c>
      <c r="C114" s="5" t="str">
        <f>IFERROR(__xludf.DUMMYFUNCTION("LOWER(TRIM(REGEXREPLACE(B114, ""[[:punct:]]"", """")))"),"droneborne sensing of major and accessory pigments in algae using deep learning modeling")</f>
        <v>droneborne sensing of major and accessory pigments in algae using deep learning modeling</v>
      </c>
      <c r="D114" s="5" t="s">
        <v>169</v>
      </c>
      <c r="E114" s="5">
        <v>59.0</v>
      </c>
      <c r="F114" s="5"/>
      <c r="G114" s="5"/>
      <c r="H114" s="5">
        <v>1.0</v>
      </c>
      <c r="I114" s="5" t="s">
        <v>500</v>
      </c>
      <c r="J114" s="5">
        <v>2022.0</v>
      </c>
      <c r="K114" s="5" t="s">
        <v>59</v>
      </c>
      <c r="L114" s="5" t="s">
        <v>44</v>
      </c>
      <c r="M114" s="6"/>
      <c r="N114" s="6"/>
      <c r="O114" s="4"/>
    </row>
    <row r="115">
      <c r="A115" s="5" t="s">
        <v>501</v>
      </c>
      <c r="B115" s="5" t="s">
        <v>502</v>
      </c>
      <c r="C115" s="5" t="str">
        <f>IFERROR(__xludf.DUMMYFUNCTION("LOWER(TRIM(REGEXREPLACE(B115, ""[[:punct:]]"", """")))"),"artificial intelligence in the current era navigating the impacts on society and wildlife conservation")</f>
        <v>artificial intelligence in the current era navigating the impacts on society and wildlife conservation</v>
      </c>
      <c r="D115" s="5" t="s">
        <v>503</v>
      </c>
      <c r="E115" s="6"/>
      <c r="F115" s="6"/>
      <c r="G115" s="6"/>
      <c r="H115" s="6"/>
      <c r="I115" s="5" t="s">
        <v>504</v>
      </c>
      <c r="J115" s="5">
        <v>2025.0</v>
      </c>
      <c r="K115" s="5" t="s">
        <v>505</v>
      </c>
      <c r="L115" s="5" t="s">
        <v>506</v>
      </c>
      <c r="M115" s="6"/>
      <c r="N115" s="6"/>
      <c r="O115" s="4"/>
    </row>
    <row r="116">
      <c r="A116" s="5" t="s">
        <v>507</v>
      </c>
      <c r="B116" s="5" t="s">
        <v>508</v>
      </c>
      <c r="C116" s="5" t="str">
        <f>IFERROR(__xludf.DUMMYFUNCTION("LOWER(TRIM(REGEXREPLACE(B116, ""[[:punct:]]"", """")))"),"opportunity of smart aquaculture and ecofarming integration in pome bioremediation and phycoremediation system for environmental sustainability")</f>
        <v>opportunity of smart aquaculture and ecofarming integration in pome bioremediation and phycoremediation system for environmental sustainability</v>
      </c>
      <c r="D116" s="6"/>
      <c r="E116" s="6"/>
      <c r="F116" s="6"/>
      <c r="G116" s="6"/>
      <c r="H116" s="6"/>
      <c r="I116" s="6"/>
      <c r="J116" s="5">
        <v>2025.0</v>
      </c>
      <c r="K116" s="5" t="s">
        <v>509</v>
      </c>
      <c r="L116" s="5" t="s">
        <v>297</v>
      </c>
      <c r="M116" s="6"/>
      <c r="N116" s="6"/>
      <c r="O116" s="4"/>
    </row>
    <row r="117">
      <c r="A117" s="5" t="s">
        <v>510</v>
      </c>
      <c r="B117" s="5" t="s">
        <v>511</v>
      </c>
      <c r="C117" s="5" t="str">
        <f>IFERROR(__xludf.DUMMYFUNCTION("LOWER(TRIM(REGEXREPLACE(B117, ""[[:punct:]]"", """")))"),"ai narrative breakdown a critical assessment of power and promise")</f>
        <v>ai narrative breakdown a critical assessment of power and promise</v>
      </c>
      <c r="D117" s="5" t="s">
        <v>512</v>
      </c>
      <c r="E117" s="6"/>
      <c r="F117" s="6"/>
      <c r="G117" s="6"/>
      <c r="H117" s="6"/>
      <c r="I117" s="5" t="s">
        <v>513</v>
      </c>
      <c r="J117" s="5">
        <v>2025.0</v>
      </c>
      <c r="K117" s="6"/>
      <c r="L117" s="5" t="s">
        <v>514</v>
      </c>
      <c r="M117" s="6"/>
      <c r="N117" s="6"/>
      <c r="O117" s="4"/>
    </row>
    <row r="118">
      <c r="A118" s="5" t="s">
        <v>515</v>
      </c>
      <c r="B118" s="5" t="s">
        <v>516</v>
      </c>
      <c r="C118" s="5" t="str">
        <f>IFERROR(__xludf.DUMMYFUNCTION("LOWER(TRIM(REGEXREPLACE(B118, ""[[:punct:]]"", """")))"),"enhancing global microplastic pollution analysis using machine learning a longitudinal study of seasonal trends and anomaly detection")</f>
        <v>enhancing global microplastic pollution analysis using machine learning a longitudinal study of seasonal trends and anomaly detection</v>
      </c>
      <c r="D118" s="5" t="s">
        <v>517</v>
      </c>
      <c r="E118" s="5">
        <v>28.0</v>
      </c>
      <c r="F118" s="5"/>
      <c r="G118" s="5"/>
      <c r="H118" s="5">
        <v>1.0</v>
      </c>
      <c r="I118" s="5" t="s">
        <v>518</v>
      </c>
      <c r="J118" s="5">
        <v>2026.0</v>
      </c>
      <c r="K118" s="5" t="s">
        <v>519</v>
      </c>
      <c r="L118" s="5" t="s">
        <v>297</v>
      </c>
      <c r="M118" s="6"/>
      <c r="N118" s="6"/>
      <c r="O118" s="4"/>
    </row>
    <row r="119">
      <c r="A119" s="5" t="s">
        <v>520</v>
      </c>
      <c r="B119" s="5" t="s">
        <v>521</v>
      </c>
      <c r="C119" s="5" t="str">
        <f>IFERROR(__xludf.DUMMYFUNCTION("LOWER(TRIM(REGEXREPLACE(B119, ""[[:punct:]]"", """")))"),"investigation of submarine groundwater discharges using satellite imagery and water balance studies a case study of the namakkangan anticline persian gulf region")</f>
        <v>investigation of submarine groundwater discharges using satellite imagery and water balance studies a case study of the namakkangan anticline persian gulf region</v>
      </c>
      <c r="D119" s="5" t="s">
        <v>522</v>
      </c>
      <c r="E119" s="5">
        <v>15.0</v>
      </c>
      <c r="F119" s="5"/>
      <c r="G119" s="5"/>
      <c r="H119" s="5">
        <v>2.0</v>
      </c>
      <c r="I119" s="5">
        <v>192.0</v>
      </c>
      <c r="J119" s="5">
        <v>2025.0</v>
      </c>
      <c r="K119" s="6"/>
      <c r="L119" s="5" t="s">
        <v>523</v>
      </c>
      <c r="M119" s="6"/>
      <c r="N119" s="6"/>
      <c r="O119" s="4"/>
    </row>
    <row r="120">
      <c r="A120" s="5" t="s">
        <v>524</v>
      </c>
      <c r="B120" s="5" t="s">
        <v>525</v>
      </c>
      <c r="C120" s="5" t="str">
        <f>IFERROR(__xludf.DUMMYFUNCTION("LOWER(TRIM(REGEXREPLACE(B120, ""[[:punct:]]"", """")))"),"indoblue energy hybrid ocean power grid hopg for india")</f>
        <v>indoblue energy hybrid ocean power grid hopg for india</v>
      </c>
      <c r="D120" s="5" t="s">
        <v>526</v>
      </c>
      <c r="E120" s="6"/>
      <c r="F120" s="6"/>
      <c r="G120" s="6"/>
      <c r="H120" s="6"/>
      <c r="I120" s="6"/>
      <c r="J120" s="5">
        <v>2025.0</v>
      </c>
      <c r="K120" s="6"/>
      <c r="L120" s="5" t="s">
        <v>527</v>
      </c>
      <c r="M120" s="6"/>
      <c r="N120" s="6"/>
      <c r="O120" s="4"/>
    </row>
    <row r="121">
      <c r="A121" s="5" t="s">
        <v>528</v>
      </c>
      <c r="B121" s="5" t="s">
        <v>529</v>
      </c>
      <c r="C121" s="5" t="str">
        <f>IFERROR(__xludf.DUMMYFUNCTION("LOWER(TRIM(REGEXREPLACE(B121, ""[[:punct:]]"", """")))"),"underwater inspection platform for visionbased biodiversity identification")</f>
        <v>underwater inspection platform for visionbased biodiversity identification</v>
      </c>
      <c r="D121" s="5" t="s">
        <v>530</v>
      </c>
      <c r="E121" s="6"/>
      <c r="F121" s="6"/>
      <c r="G121" s="6"/>
      <c r="H121" s="6"/>
      <c r="I121" s="5" t="s">
        <v>531</v>
      </c>
      <c r="J121" s="5">
        <v>2025.0</v>
      </c>
      <c r="K121" s="5" t="s">
        <v>16</v>
      </c>
      <c r="L121" s="5" t="s">
        <v>532</v>
      </c>
      <c r="M121" s="6"/>
      <c r="N121" s="6"/>
      <c r="O121" s="4"/>
    </row>
    <row r="122">
      <c r="A122" s="5" t="s">
        <v>533</v>
      </c>
      <c r="B122" s="5" t="s">
        <v>534</v>
      </c>
      <c r="C122" s="5" t="str">
        <f>IFERROR(__xludf.DUMMYFUNCTION("LOWER(TRIM(REGEXREPLACE(B122, ""[[:punct:]]"", """")))"),"digital twins and ai integration in offshore renewable energy a review")</f>
        <v>digital twins and ai integration in offshore renewable energy a review</v>
      </c>
      <c r="D122" s="5" t="s">
        <v>443</v>
      </c>
      <c r="E122" s="5">
        <v>1552.0</v>
      </c>
      <c r="F122" s="5"/>
      <c r="G122" s="5"/>
      <c r="H122" s="5">
        <v>1.0</v>
      </c>
      <c r="I122" s="5">
        <v>12007.0</v>
      </c>
      <c r="J122" s="5">
        <v>2025.0</v>
      </c>
      <c r="K122" s="5" t="s">
        <v>444</v>
      </c>
      <c r="L122" s="5" t="s">
        <v>535</v>
      </c>
      <c r="M122" s="6"/>
      <c r="N122" s="6"/>
      <c r="O122" s="4"/>
    </row>
    <row r="123">
      <c r="A123" s="5" t="s">
        <v>536</v>
      </c>
      <c r="B123" s="5" t="s">
        <v>537</v>
      </c>
      <c r="C123" s="5" t="str">
        <f>IFERROR(__xludf.DUMMYFUNCTION("LOWER(TRIM(REGEXREPLACE(B123, ""[[:punct:]]"", """")))"),"research progress on key technologies for deepsea big data processing")</f>
        <v>research progress on key technologies for deepsea big data processing</v>
      </c>
      <c r="D123" s="5" t="s">
        <v>538</v>
      </c>
      <c r="E123" s="6"/>
      <c r="F123" s="6"/>
      <c r="G123" s="6"/>
      <c r="H123" s="6"/>
      <c r="I123" s="5" t="s">
        <v>539</v>
      </c>
      <c r="J123" s="5">
        <v>2025.0</v>
      </c>
      <c r="K123" s="5" t="s">
        <v>16</v>
      </c>
      <c r="L123" s="5" t="s">
        <v>540</v>
      </c>
      <c r="M123" s="6"/>
      <c r="N123" s="6"/>
      <c r="O123" s="4"/>
    </row>
    <row r="124">
      <c r="A124" s="5" t="s">
        <v>541</v>
      </c>
      <c r="B124" s="5" t="s">
        <v>542</v>
      </c>
      <c r="C124" s="5" t="str">
        <f>IFERROR(__xludf.DUMMYFUNCTION("LOWER(TRIM(REGEXREPLACE(B124, ""[[:punct:]]"", """")))"),"applications of machine learning in underwater bioacoustics")</f>
        <v>applications of machine learning in underwater bioacoustics</v>
      </c>
      <c r="D124" s="6"/>
      <c r="E124" s="6"/>
      <c r="F124" s="6"/>
      <c r="G124" s="6"/>
      <c r="H124" s="6"/>
      <c r="I124" s="6"/>
      <c r="J124" s="5">
        <v>2025.0</v>
      </c>
      <c r="K124" s="5" t="s">
        <v>543</v>
      </c>
      <c r="L124" s="5" t="s">
        <v>544</v>
      </c>
      <c r="M124" s="6"/>
      <c r="N124" s="6"/>
      <c r="O124" s="4"/>
    </row>
    <row r="125">
      <c r="A125" s="5" t="s">
        <v>545</v>
      </c>
      <c r="B125" s="5" t="s">
        <v>546</v>
      </c>
      <c r="C125" s="5" t="str">
        <f>IFERROR(__xludf.DUMMYFUNCTION("LOWER(TRIM(REGEXREPLACE(B125, ""[[:punct:]]"", """")))"),"strandingbased demographic inference in marine mammals best practices for extracting vital rates despite compound sampling bias")</f>
        <v>strandingbased demographic inference in marine mammals best practices for extracting vital rates despite compound sampling bias</v>
      </c>
      <c r="D125" s="6"/>
      <c r="E125" s="6"/>
      <c r="F125" s="6"/>
      <c r="G125" s="6"/>
      <c r="H125" s="6"/>
      <c r="I125" s="6"/>
      <c r="J125" s="5">
        <v>2025.0</v>
      </c>
      <c r="K125" s="5" t="s">
        <v>547</v>
      </c>
      <c r="L125" s="5" t="s">
        <v>548</v>
      </c>
      <c r="M125" s="6"/>
      <c r="N125" s="6"/>
      <c r="O125" s="4"/>
    </row>
    <row r="126">
      <c r="A126" s="5" t="s">
        <v>549</v>
      </c>
      <c r="B126" s="5" t="s">
        <v>550</v>
      </c>
      <c r="C126" s="5" t="str">
        <f>IFERROR(__xludf.DUMMYFUNCTION("LOWER(TRIM(REGEXREPLACE(B126, ""[[:punct:]]"", """")))"),"interpretable ai for fisheries data")</f>
        <v>interpretable ai for fisheries data</v>
      </c>
      <c r="D126" s="5" t="s">
        <v>551</v>
      </c>
      <c r="E126" s="5">
        <v>37.0</v>
      </c>
      <c r="F126" s="5"/>
      <c r="G126" s="5"/>
      <c r="H126" s="5">
        <v>2.0</v>
      </c>
      <c r="I126" s="6"/>
      <c r="J126" s="5">
        <v>2025.0</v>
      </c>
      <c r="K126" s="6"/>
      <c r="L126" s="5" t="s">
        <v>552</v>
      </c>
      <c r="M126" s="6"/>
      <c r="N126" s="6"/>
      <c r="O126" s="4"/>
    </row>
    <row r="127">
      <c r="A127" s="5" t="s">
        <v>553</v>
      </c>
      <c r="B127" s="5" t="s">
        <v>554</v>
      </c>
      <c r="C127" s="5" t="str">
        <f>IFERROR(__xludf.DUMMYFUNCTION("LOWER(TRIM(REGEXREPLACE(B127, ""[[:punct:]]"", """")))"),"research on the coordinated development path of coastal zone ecosystem health assessment and tourism a case study of chinese coastal cities")</f>
        <v>research on the coordinated development path of coastal zone ecosystem health assessment and tourism a case study of chinese coastal cities</v>
      </c>
      <c r="D127" s="5" t="s">
        <v>555</v>
      </c>
      <c r="E127" s="5">
        <v>23.0</v>
      </c>
      <c r="F127" s="5"/>
      <c r="G127" s="5"/>
      <c r="H127" s="5">
        <v>5.0</v>
      </c>
      <c r="I127" s="5">
        <v>10359.0</v>
      </c>
      <c r="J127" s="5">
        <v>2025.0</v>
      </c>
      <c r="K127" s="6"/>
      <c r="L127" s="5" t="s">
        <v>556</v>
      </c>
      <c r="M127" s="6"/>
      <c r="N127" s="6"/>
      <c r="O127" s="4"/>
    </row>
    <row r="128">
      <c r="A128" s="5" t="s">
        <v>557</v>
      </c>
      <c r="B128" s="5" t="s">
        <v>558</v>
      </c>
      <c r="C128" s="5" t="str">
        <f>IFERROR(__xludf.DUMMYFUNCTION("LOWER(TRIM(REGEXREPLACE(B128, ""[[:punct:]]"", """")))"),"investigation of changes in salt and microalgal population status in çevlik samandağ hatay pompei mezitli mersin coastal region marine water resources")</f>
        <v>investigation of changes in salt and microalgal population status in çevlik samandağ hatay pompei mezitli mersin coastal region marine water resources</v>
      </c>
      <c r="D128" s="5" t="s">
        <v>559</v>
      </c>
      <c r="E128" s="5">
        <v>8.0</v>
      </c>
      <c r="F128" s="5"/>
      <c r="G128" s="5"/>
      <c r="H128" s="5">
        <v>5.0</v>
      </c>
      <c r="I128" s="5" t="s">
        <v>560</v>
      </c>
      <c r="J128" s="5">
        <v>2025.0</v>
      </c>
      <c r="K128" s="5" t="s">
        <v>561</v>
      </c>
      <c r="L128" s="5" t="s">
        <v>17</v>
      </c>
      <c r="M128" s="5" t="s">
        <v>562</v>
      </c>
      <c r="N128" s="6"/>
      <c r="O128" s="4"/>
    </row>
    <row r="129">
      <c r="A129" s="5" t="s">
        <v>563</v>
      </c>
      <c r="B129" s="5" t="s">
        <v>564</v>
      </c>
      <c r="C129" s="5" t="str">
        <f>IFERROR(__xludf.DUMMYFUNCTION("LOWER(TRIM(REGEXREPLACE(B129, ""[[:punct:]]"", """")))"),"a comprehensive freshwater microalgae dataset for deep learningbased classification with transfer learning analysis")</f>
        <v>a comprehensive freshwater microalgae dataset for deep learningbased classification with transfer learning analysis</v>
      </c>
      <c r="D129" s="5" t="s">
        <v>565</v>
      </c>
      <c r="E129" s="6"/>
      <c r="F129" s="6"/>
      <c r="G129" s="6"/>
      <c r="H129" s="6"/>
      <c r="I129" s="6"/>
      <c r="J129" s="5">
        <v>2025.0</v>
      </c>
      <c r="K129" s="6"/>
      <c r="L129" s="5" t="s">
        <v>566</v>
      </c>
      <c r="M129" s="6"/>
      <c r="N129" s="6"/>
      <c r="O129" s="4"/>
    </row>
    <row r="130">
      <c r="A130" s="5" t="s">
        <v>567</v>
      </c>
      <c r="B130" s="5" t="s">
        <v>568</v>
      </c>
      <c r="C130" s="5" t="str">
        <f>IFERROR(__xludf.DUMMYFUNCTION("LOWER(TRIM(REGEXREPLACE(B130, ""[[:punct:]]"", """")))"),"using kolmogorov–arnold network and resnet for marine protein mapping in support of the prabowo–gibran mbg program")</f>
        <v>using kolmogorov–arnold network and resnet for marine protein mapping in support of the prabowo–gibran mbg program</v>
      </c>
      <c r="D130" s="5" t="s">
        <v>569</v>
      </c>
      <c r="E130" s="5">
        <v>6.0</v>
      </c>
      <c r="F130" s="5"/>
      <c r="G130" s="5"/>
      <c r="H130" s="5">
        <v>1.0</v>
      </c>
      <c r="I130" s="5">
        <v>1131.0</v>
      </c>
      <c r="J130" s="5">
        <v>2025.0</v>
      </c>
      <c r="K130" s="5" t="s">
        <v>209</v>
      </c>
      <c r="L130" s="5" t="s">
        <v>17</v>
      </c>
      <c r="M130" s="5" t="s">
        <v>570</v>
      </c>
      <c r="N130" s="6"/>
      <c r="O130" s="4"/>
    </row>
    <row r="131">
      <c r="A131" s="5" t="s">
        <v>571</v>
      </c>
      <c r="B131" s="5" t="s">
        <v>572</v>
      </c>
      <c r="C131" s="5" t="str">
        <f>IFERROR(__xludf.DUMMYFUNCTION("LOWER(TRIM(REGEXREPLACE(B131, ""[[:punct:]]"", """")))"),"“what nowwhat nextwhat if” or nasa earth system digital twins")</f>
        <v>“what nowwhat nextwhat if” or nasa earth system digital twins</v>
      </c>
      <c r="D131" s="5" t="s">
        <v>573</v>
      </c>
      <c r="E131" s="6"/>
      <c r="F131" s="6"/>
      <c r="G131" s="6"/>
      <c r="H131" s="6"/>
      <c r="I131" s="6"/>
      <c r="J131" s="5">
        <v>2025.0</v>
      </c>
      <c r="K131" s="5" t="s">
        <v>16</v>
      </c>
      <c r="L131" s="5" t="s">
        <v>574</v>
      </c>
      <c r="M131" s="6"/>
      <c r="N131" s="6"/>
    </row>
    <row r="132">
      <c r="A132" s="5" t="s">
        <v>575</v>
      </c>
      <c r="B132" s="5" t="s">
        <v>576</v>
      </c>
      <c r="C132" s="5" t="str">
        <f>IFERROR(__xludf.DUMMYFUNCTION("LOWER(TRIM(REGEXREPLACE(B132, ""[[:punct:]]"", """")))"),"the ethical use of artificial intelligence in teacher training and evaluation")</f>
        <v>the ethical use of artificial intelligence in teacher training and evaluation</v>
      </c>
      <c r="D132" s="5" t="s">
        <v>577</v>
      </c>
      <c r="E132" s="6"/>
      <c r="F132" s="6"/>
      <c r="G132" s="6"/>
      <c r="H132" s="6"/>
      <c r="I132" s="5">
        <v>13.0</v>
      </c>
      <c r="J132" s="5">
        <v>2025.0</v>
      </c>
      <c r="K132" s="5" t="s">
        <v>578</v>
      </c>
      <c r="L132" s="5" t="s">
        <v>579</v>
      </c>
      <c r="M132" s="6"/>
      <c r="N132" s="6"/>
    </row>
    <row r="133">
      <c r="A133" s="5" t="s">
        <v>580</v>
      </c>
      <c r="B133" s="5" t="s">
        <v>581</v>
      </c>
      <c r="C133" s="5" t="str">
        <f>IFERROR(__xludf.DUMMYFUNCTION("LOWER(TRIM(REGEXREPLACE(B133, ""[[:punct:]]"", """")))"),"haodong liu and qian wu")</f>
        <v>haodong liu and qian wu</v>
      </c>
      <c r="D133" s="5" t="s">
        <v>582</v>
      </c>
      <c r="E133" s="6"/>
      <c r="F133" s="6"/>
      <c r="G133" s="6"/>
      <c r="H133" s="6"/>
      <c r="I133" s="5">
        <v>47.0</v>
      </c>
      <c r="J133" s="5">
        <v>2025.0</v>
      </c>
      <c r="K133" s="5" t="s">
        <v>39</v>
      </c>
      <c r="L133" s="5" t="s">
        <v>583</v>
      </c>
      <c r="M133" s="6"/>
      <c r="N133" s="6"/>
    </row>
    <row r="134">
      <c r="A134" s="5" t="s">
        <v>584</v>
      </c>
      <c r="B134" s="5" t="s">
        <v>585</v>
      </c>
      <c r="C134" s="5" t="str">
        <f>IFERROR(__xludf.DUMMYFUNCTION("LOWER(TRIM(REGEXREPLACE(B134, ""[[:punct:]]"", """")))"),"listening with light distributed acoustic sensing for event detection characterization and classification")</f>
        <v>listening with light distributed acoustic sensing for event detection characterization and classification</v>
      </c>
      <c r="D134" s="6"/>
      <c r="E134" s="6"/>
      <c r="F134" s="6"/>
      <c r="G134" s="6"/>
      <c r="H134" s="6"/>
      <c r="I134" s="6"/>
      <c r="J134" s="5">
        <v>2025.0</v>
      </c>
      <c r="K134" s="5" t="s">
        <v>586</v>
      </c>
      <c r="L134" s="5" t="s">
        <v>587</v>
      </c>
      <c r="M134" s="6"/>
      <c r="N134" s="6"/>
    </row>
    <row r="135">
      <c r="A135" s="5" t="s">
        <v>588</v>
      </c>
      <c r="B135" s="5" t="s">
        <v>589</v>
      </c>
      <c r="C135" s="5" t="str">
        <f>IFERROR(__xludf.DUMMYFUNCTION("LOWER(TRIM(REGEXREPLACE(B135, ""[[:punct:]]"", """")))"),"analysis and review of fisherydependent data for hawaiian nearshore noncommercial fisheries")</f>
        <v>analysis and review of fisherydependent data for hawaiian nearshore noncommercial fisheries</v>
      </c>
      <c r="D135" s="6"/>
      <c r="E135" s="6"/>
      <c r="F135" s="6"/>
      <c r="G135" s="6"/>
      <c r="H135" s="6"/>
      <c r="I135" s="6"/>
      <c r="J135" s="5">
        <v>2024.0</v>
      </c>
      <c r="K135" s="6"/>
      <c r="L135" s="5" t="s">
        <v>590</v>
      </c>
      <c r="M135" s="6"/>
      <c r="N135" s="6"/>
    </row>
    <row r="136">
      <c r="A136" s="5" t="s">
        <v>591</v>
      </c>
      <c r="B136" s="5" t="s">
        <v>592</v>
      </c>
      <c r="C136" s="5" t="str">
        <f>IFERROR(__xludf.DUMMYFUNCTION("LOWER(TRIM(REGEXREPLACE(B136, ""[[:punct:]]"", """")))"),"rapid diagnostic toolkits for realtime monitoring of human and environmental health")</f>
        <v>rapid diagnostic toolkits for realtime monitoring of human and environmental health</v>
      </c>
      <c r="D136" s="6"/>
      <c r="E136" s="6"/>
      <c r="F136" s="6"/>
      <c r="G136" s="6"/>
      <c r="H136" s="6"/>
      <c r="I136" s="6"/>
      <c r="J136" s="5">
        <v>2025.0</v>
      </c>
      <c r="K136" s="5" t="s">
        <v>593</v>
      </c>
      <c r="L136" s="5" t="s">
        <v>594</v>
      </c>
      <c r="M136" s="6"/>
      <c r="N136" s="6"/>
    </row>
    <row r="137">
      <c r="A137" s="5" t="s">
        <v>595</v>
      </c>
      <c r="B137" s="5" t="s">
        <v>596</v>
      </c>
      <c r="C137" s="5" t="str">
        <f>IFERROR(__xludf.DUMMYFUNCTION("LOWER(TRIM(REGEXREPLACE(B137, ""[[:punct:]]"", """")))"),"data‐driven discovery of mechanistic ecosystem models with llms")</f>
        <v>data‐driven discovery of mechanistic ecosystem models with llms</v>
      </c>
      <c r="D137" s="5" t="s">
        <v>597</v>
      </c>
      <c r="E137" s="5">
        <v>17.0</v>
      </c>
      <c r="F137" s="5"/>
      <c r="G137" s="5"/>
      <c r="H137" s="5">
        <v>4.0</v>
      </c>
      <c r="I137" s="5" t="s">
        <v>598</v>
      </c>
      <c r="J137" s="5">
        <v>2026.0</v>
      </c>
      <c r="K137" s="6"/>
      <c r="L137" s="5" t="s">
        <v>599</v>
      </c>
      <c r="M137" s="6"/>
      <c r="N137" s="6"/>
    </row>
    <row r="138">
      <c r="A138" s="5" t="s">
        <v>600</v>
      </c>
      <c r="B138" s="5" t="s">
        <v>601</v>
      </c>
      <c r="C138" s="5" t="str">
        <f>IFERROR(__xludf.DUMMYFUNCTION("LOWER(TRIM(REGEXREPLACE(B138, ""[[:punct:]]"", """")))"),"evolution and application of dimensional metrology a comparative review")</f>
        <v>evolution and application of dimensional metrology a comparative review</v>
      </c>
      <c r="D138" s="5" t="s">
        <v>602</v>
      </c>
      <c r="E138" s="6"/>
      <c r="F138" s="6"/>
      <c r="G138" s="6"/>
      <c r="H138" s="6"/>
      <c r="I138" s="7">
        <v>46049.0</v>
      </c>
      <c r="J138" s="5">
        <v>2025.0</v>
      </c>
      <c r="K138" s="5" t="s">
        <v>59</v>
      </c>
      <c r="L138" s="5" t="s">
        <v>603</v>
      </c>
      <c r="M138" s="6"/>
      <c r="N138" s="6"/>
    </row>
    <row r="139">
      <c r="A139" s="5" t="s">
        <v>604</v>
      </c>
      <c r="B139" s="5" t="s">
        <v>605</v>
      </c>
      <c r="C139" s="5" t="str">
        <f>IFERROR(__xludf.DUMMYFUNCTION("LOWER(TRIM(REGEXREPLACE(B139, ""[[:punct:]]"", """")))"),"multispecies communities bolinskirieger eine lebenswelt von allen und für alle ä mancini animalcomputer interaction ä wirman spiele für fremdemit fremden ä asplingwangjuhlin plantcomputer interaction ä hauser zur rehabilitierung der bakterien ä parikka in"&amp;"sekten und kanarienvögel ä szopek ua autonome roboterschwärme als stabilisatoren gefährdeter")</f>
        <v>multispecies communities bolinskirieger eine lebenswelt von allen und für alle ä mancini animalcomputer interaction ä wirman spiele für fremdemit fremden ä asplingwangjuhlin plantcomputer interaction ä hauser zur rehabilitierung der bakterien ä parikka insekten und kanarienvögel ä szopek ua autonome roboterschwärme als stabilisatoren gefährdeter</v>
      </c>
      <c r="D139" s="6"/>
      <c r="E139" s="6"/>
      <c r="F139" s="6"/>
      <c r="G139" s="6"/>
      <c r="H139" s="6"/>
      <c r="I139" s="6"/>
      <c r="J139" s="6"/>
      <c r="K139" s="6"/>
      <c r="L139" s="5" t="s">
        <v>606</v>
      </c>
      <c r="M139" s="6"/>
      <c r="N139" s="6"/>
    </row>
    <row r="140">
      <c r="A140" s="5" t="s">
        <v>607</v>
      </c>
      <c r="B140" s="5" t="s">
        <v>608</v>
      </c>
      <c r="C140" s="5" t="str">
        <f>IFERROR(__xludf.DUMMYFUNCTION("LOWER(TRIM(REGEXREPLACE(B140, ""[[:punct:]]"", """")))"),"zeitschrift für informatik und gesellschaft")</f>
        <v>zeitschrift für informatik und gesellschaft</v>
      </c>
      <c r="D140" s="6"/>
      <c r="E140" s="6"/>
      <c r="F140" s="6"/>
      <c r="G140" s="6"/>
      <c r="H140" s="6"/>
      <c r="I140" s="6"/>
      <c r="J140" s="6"/>
      <c r="K140" s="6"/>
      <c r="L140" s="5" t="s">
        <v>434</v>
      </c>
      <c r="M140" s="6"/>
      <c r="N140" s="6"/>
    </row>
    <row r="141">
      <c r="A141" s="5" t="s">
        <v>609</v>
      </c>
      <c r="B141" s="5" t="s">
        <v>610</v>
      </c>
      <c r="C141" s="5" t="str">
        <f>IFERROR(__xludf.DUMMYFUNCTION("LOWER(TRIM(REGEXREPLACE(B141, ""[[:punct:]]"", """")))"),"a comparison of selfsupervised and supervised deep learning approaches in floating marine litter and other types of seasurface anomalies detection")</f>
        <v>a comparison of selfsupervised and supervised deep learning approaches in floating marine litter and other types of seasurface anomalies detection</v>
      </c>
      <c r="D141" s="5" t="s">
        <v>246</v>
      </c>
      <c r="E141" s="5">
        <v>18.0</v>
      </c>
      <c r="F141" s="5"/>
      <c r="G141" s="5"/>
      <c r="H141" s="5">
        <v>2.0</v>
      </c>
      <c r="I141" s="5">
        <v>241.0</v>
      </c>
      <c r="J141" s="5">
        <v>2026.0</v>
      </c>
      <c r="K141" s="5" t="s">
        <v>180</v>
      </c>
      <c r="L141" s="5" t="s">
        <v>17</v>
      </c>
      <c r="M141" s="5" t="s">
        <v>611</v>
      </c>
      <c r="N141" s="6"/>
    </row>
    <row r="142">
      <c r="A142" s="5" t="s">
        <v>612</v>
      </c>
      <c r="B142" s="5" t="s">
        <v>613</v>
      </c>
      <c r="C142" s="5" t="str">
        <f>IFERROR(__xludf.DUMMYFUNCTION("LOWER(TRIM(REGEXREPLACE(B142, ""[[:punct:]]"", """")))"),"a machine learningdriven framework for enhancing underwater visual signal processing in marine ecosystem economic monitoring and anthropogenic impact assessment")</f>
        <v>a machine learningdriven framework for enhancing underwater visual signal processing in marine ecosystem economic monitoring and anthropogenic impact assessment</v>
      </c>
      <c r="D142" s="5" t="s">
        <v>614</v>
      </c>
      <c r="E142" s="5">
        <v>13.0</v>
      </c>
      <c r="F142" s="6"/>
      <c r="G142" s="6"/>
      <c r="H142" s="6"/>
      <c r="I142" s="5">
        <v>1689855.0</v>
      </c>
      <c r="J142" s="5">
        <v>2025.0</v>
      </c>
      <c r="K142" s="5" t="s">
        <v>39</v>
      </c>
      <c r="L142" s="5" t="s">
        <v>615</v>
      </c>
      <c r="M142" s="6"/>
      <c r="N142" s="6"/>
    </row>
    <row r="143">
      <c r="A143" s="5" t="s">
        <v>616</v>
      </c>
      <c r="B143" s="5" t="s">
        <v>617</v>
      </c>
      <c r="C143" s="5" t="str">
        <f>IFERROR(__xludf.DUMMYFUNCTION("LOWER(TRIM(REGEXREPLACE(B143, ""[[:punct:]]"", """")))"),"practical guidance on automated sorting of underwater images in plankton ecology research")</f>
        <v>practical guidance on automated sorting of underwater images in plankton ecology research</v>
      </c>
      <c r="D143" s="5" t="s">
        <v>618</v>
      </c>
      <c r="E143" s="5">
        <v>83.0</v>
      </c>
      <c r="F143" s="5"/>
      <c r="G143" s="5"/>
      <c r="H143" s="5">
        <v>1.0</v>
      </c>
      <c r="I143" s="5" t="s">
        <v>619</v>
      </c>
      <c r="J143" s="5">
        <v>2026.0</v>
      </c>
      <c r="K143" s="5" t="s">
        <v>620</v>
      </c>
      <c r="L143" s="5" t="s">
        <v>17</v>
      </c>
      <c r="M143" s="5" t="s">
        <v>621</v>
      </c>
      <c r="N143" s="6"/>
      <c r="O143" s="4"/>
    </row>
    <row r="144">
      <c r="A144" s="5" t="s">
        <v>622</v>
      </c>
      <c r="B144" s="5" t="s">
        <v>623</v>
      </c>
      <c r="C144" s="5" t="str">
        <f>IFERROR(__xludf.DUMMYFUNCTION("LOWER(TRIM(REGEXREPLACE(B144, ""[[:punct:]]"", """")))"),"in situ swimming behavior of the mariana snailfish pseudoliparis swirei")</f>
        <v>in situ swimming behavior of the mariana snailfish pseudoliparis swirei</v>
      </c>
      <c r="D144" s="5" t="s">
        <v>77</v>
      </c>
      <c r="E144" s="6"/>
      <c r="F144" s="6"/>
      <c r="G144" s="6"/>
      <c r="H144" s="6"/>
      <c r="I144" s="6"/>
      <c r="J144" s="5">
        <v>2026.0</v>
      </c>
      <c r="K144" s="5" t="s">
        <v>78</v>
      </c>
      <c r="L144" s="5" t="s">
        <v>17</v>
      </c>
      <c r="M144" s="5" t="s">
        <v>624</v>
      </c>
      <c r="N144" s="6"/>
      <c r="O144" s="4"/>
    </row>
    <row r="145">
      <c r="A145" s="5" t="s">
        <v>625</v>
      </c>
      <c r="B145" s="5" t="s">
        <v>626</v>
      </c>
      <c r="C145" s="5" t="str">
        <f>IFERROR(__xludf.DUMMYFUNCTION("LOWER(TRIM(REGEXREPLACE(B145, ""[[:punct:]]"", """")))"),"effective marine animal detection and rare species classification using autonomous drones")</f>
        <v>effective marine animal detection and rare species classification using autonomous drones</v>
      </c>
      <c r="D145" s="5" t="s">
        <v>627</v>
      </c>
      <c r="E145" s="6"/>
      <c r="F145" s="6"/>
      <c r="G145" s="6"/>
      <c r="H145" s="6"/>
      <c r="I145" s="7">
        <v>46029.0</v>
      </c>
      <c r="J145" s="5">
        <v>2025.0</v>
      </c>
      <c r="K145" s="5" t="s">
        <v>16</v>
      </c>
      <c r="L145" s="5" t="s">
        <v>17</v>
      </c>
      <c r="M145" s="5" t="s">
        <v>628</v>
      </c>
      <c r="N145" s="6"/>
      <c r="O145" s="4"/>
    </row>
    <row r="146">
      <c r="A146" s="5" t="s">
        <v>629</v>
      </c>
      <c r="B146" s="5" t="s">
        <v>630</v>
      </c>
      <c r="C146" s="5" t="str">
        <f>IFERROR(__xludf.DUMMYFUNCTION("LOWER(TRIM(REGEXREPLACE(B146, ""[[:punct:]]"", """")))"),"explainable deep learning for plankton classification bridging the gap between ai and marine biology")</f>
        <v>explainable deep learning for plankton classification bridging the gap between ai and marine biology</v>
      </c>
      <c r="D146" s="6"/>
      <c r="E146" s="6"/>
      <c r="F146" s="6"/>
      <c r="G146" s="6"/>
      <c r="H146" s="6"/>
      <c r="I146" s="6"/>
      <c r="J146" s="6"/>
      <c r="K146" s="6"/>
      <c r="L146" s="5" t="s">
        <v>17</v>
      </c>
      <c r="M146" s="5" t="s">
        <v>631</v>
      </c>
      <c r="N146" s="6"/>
      <c r="O146" s="4"/>
    </row>
    <row r="147">
      <c r="A147" s="5" t="s">
        <v>632</v>
      </c>
      <c r="B147" s="5" t="s">
        <v>633</v>
      </c>
      <c r="C147" s="5" t="str">
        <f>IFERROR(__xludf.DUMMYFUNCTION("LOWER(TRIM(REGEXREPLACE(B147, ""[[:punct:]]"", """")))"),"a novel dataset for nonreference evaluation of underwater image enhancement")</f>
        <v>a novel dataset for nonreference evaluation of underwater image enhancement</v>
      </c>
      <c r="D147" s="5" t="s">
        <v>634</v>
      </c>
      <c r="E147" s="5">
        <v>1.0</v>
      </c>
      <c r="F147" s="5"/>
      <c r="G147" s="5"/>
      <c r="H147" s="5">
        <v>1.0</v>
      </c>
      <c r="I147" s="6"/>
      <c r="J147" s="5">
        <v>2026.0</v>
      </c>
      <c r="K147" s="6"/>
      <c r="L147" s="5" t="s">
        <v>17</v>
      </c>
      <c r="M147" s="5" t="s">
        <v>635</v>
      </c>
      <c r="N147" s="6"/>
      <c r="O147" s="4"/>
    </row>
    <row r="148">
      <c r="A148" s="5" t="s">
        <v>636</v>
      </c>
      <c r="B148" s="5" t="s">
        <v>637</v>
      </c>
      <c r="C148" s="5" t="str">
        <f>IFERROR(__xludf.DUMMYFUNCTION("LOWER(TRIM(REGEXREPLACE(B148, ""[[:punct:]]"", """")))"),"anomaly detection and model construction with the focus on natural language processing in consumer complaint textual analysis")</f>
        <v>anomaly detection and model construction with the focus on natural language processing in consumer complaint textual analysis</v>
      </c>
      <c r="D148" s="6"/>
      <c r="E148" s="6"/>
      <c r="F148" s="6"/>
      <c r="G148" s="6"/>
      <c r="H148" s="6"/>
      <c r="I148" s="6"/>
      <c r="J148" s="5">
        <v>2025.0</v>
      </c>
      <c r="K148" s="5" t="s">
        <v>638</v>
      </c>
      <c r="L148" s="5" t="s">
        <v>606</v>
      </c>
      <c r="M148" s="5"/>
      <c r="N148" s="6"/>
      <c r="O148" s="4"/>
    </row>
    <row r="149">
      <c r="A149" s="5" t="s">
        <v>639</v>
      </c>
      <c r="B149" s="5" t="s">
        <v>640</v>
      </c>
      <c r="C149" s="5" t="str">
        <f>IFERROR(__xludf.DUMMYFUNCTION("LOWER(TRIM(REGEXREPLACE(B149, ""[[:punct:]]"", """")))"),"design and implementation of an automated vision system using yolo for identification and classification of marine phytoplankton")</f>
        <v>design and implementation of an automated vision system using yolo for identification and classification of marine phytoplankton</v>
      </c>
      <c r="D149" s="5" t="s">
        <v>641</v>
      </c>
      <c r="E149" s="6"/>
      <c r="F149" s="6"/>
      <c r="G149" s="6"/>
      <c r="H149" s="6"/>
      <c r="I149" s="5" t="s">
        <v>642</v>
      </c>
      <c r="J149" s="5">
        <v>2026.0</v>
      </c>
      <c r="K149" s="5" t="s">
        <v>16</v>
      </c>
      <c r="L149" s="5" t="s">
        <v>17</v>
      </c>
      <c r="M149" s="5" t="s">
        <v>643</v>
      </c>
      <c r="N149" s="6"/>
      <c r="O149" s="4"/>
    </row>
    <row r="150">
      <c r="A150" s="5" t="s">
        <v>644</v>
      </c>
      <c r="B150" s="5" t="s">
        <v>645</v>
      </c>
      <c r="C150" s="5" t="str">
        <f>IFERROR(__xludf.DUMMYFUNCTION("LOWER(TRIM(REGEXREPLACE(B150, ""[[:punct:]]"", """")))"),"fustt forecasting using spatiotemporal transformers for predicting marine stressors of bluecarbon ecosystems")</f>
        <v>fustt forecasting using spatiotemporal transformers for predicting marine stressors of bluecarbon ecosystems</v>
      </c>
      <c r="D150" s="5" t="s">
        <v>646</v>
      </c>
      <c r="E150" s="5">
        <v>19.0</v>
      </c>
      <c r="F150" s="6"/>
      <c r="G150" s="6"/>
      <c r="H150" s="6"/>
      <c r="I150" s="5" t="s">
        <v>647</v>
      </c>
      <c r="J150" s="5">
        <v>2025.0</v>
      </c>
      <c r="K150" s="5" t="s">
        <v>16</v>
      </c>
      <c r="L150" s="5" t="s">
        <v>17</v>
      </c>
      <c r="M150" s="5" t="s">
        <v>648</v>
      </c>
      <c r="N150" s="6"/>
      <c r="O150" s="4"/>
    </row>
    <row r="151">
      <c r="A151" s="5" t="s">
        <v>649</v>
      </c>
      <c r="B151" s="5" t="s">
        <v>650</v>
      </c>
      <c r="C151" s="5" t="str">
        <f>IFERROR(__xludf.DUMMYFUNCTION("LOWER(TRIM(REGEXREPLACE(B151, ""[[:punct:]]"", """")))"),"applying artificial intelligence ai innovative tools for ecological research and monitoring of transitional water ecosystems a systematic review")</f>
        <v>applying artificial intelligence ai innovative tools for ecological research and monitoring of transitional water ecosystems a systematic review</v>
      </c>
      <c r="D151" s="5" t="s">
        <v>651</v>
      </c>
      <c r="E151" s="5">
        <v>13.0</v>
      </c>
      <c r="F151" s="5"/>
      <c r="G151" s="5"/>
      <c r="H151" s="5">
        <v>4.0</v>
      </c>
      <c r="I151" s="5">
        <v>193.0</v>
      </c>
      <c r="J151" s="5">
        <v>2026.0</v>
      </c>
      <c r="K151" s="5" t="s">
        <v>180</v>
      </c>
      <c r="L151" s="5" t="s">
        <v>17</v>
      </c>
      <c r="M151" s="5" t="s">
        <v>652</v>
      </c>
      <c r="N151" s="6"/>
      <c r="O151" s="4"/>
    </row>
    <row r="152">
      <c r="A152" s="5" t="s">
        <v>653</v>
      </c>
      <c r="B152" s="5" t="s">
        <v>654</v>
      </c>
      <c r="C152" s="5" t="str">
        <f>IFERROR(__xludf.DUMMYFUNCTION("LOWER(TRIM(REGEXREPLACE(B152, ""[[:punct:]]"", """")))"),"advanced underwater object detection using ai integrating 6g and iot technologies for marine ecosystem monitoring")</f>
        <v>advanced underwater object detection using ai integrating 6g and iot technologies for marine ecosystem monitoring</v>
      </c>
      <c r="D152" s="5" t="s">
        <v>655</v>
      </c>
      <c r="E152" s="6"/>
      <c r="F152" s="6"/>
      <c r="G152" s="6"/>
      <c r="H152" s="6"/>
      <c r="I152" s="5" t="s">
        <v>656</v>
      </c>
      <c r="J152" s="5">
        <v>2025.0</v>
      </c>
      <c r="K152" s="5" t="s">
        <v>657</v>
      </c>
      <c r="L152" s="5" t="s">
        <v>17</v>
      </c>
      <c r="M152" s="5" t="s">
        <v>658</v>
      </c>
      <c r="N152" s="6"/>
      <c r="O152" s="4"/>
    </row>
    <row r="153">
      <c r="A153" s="5" t="s">
        <v>659</v>
      </c>
      <c r="B153" s="5" t="s">
        <v>660</v>
      </c>
      <c r="C153" s="5" t="str">
        <f>IFERROR(__xludf.DUMMYFUNCTION("LOWER(TRIM(REGEXREPLACE(B153, ""[[:punct:]]"", """")))"),"mimo and multigroup comparison problem in process control a multivariate statistical framework for systems represented with frequency response functions")</f>
        <v>mimo and multigroup comparison problem in process control a multivariate statistical framework for systems represented with frequency response functions</v>
      </c>
      <c r="D153" s="5" t="s">
        <v>661</v>
      </c>
      <c r="E153" s="6"/>
      <c r="F153" s="6"/>
      <c r="G153" s="6"/>
      <c r="H153" s="6"/>
      <c r="I153" s="6"/>
      <c r="J153" s="5">
        <v>2026.0</v>
      </c>
      <c r="K153" s="6"/>
      <c r="L153" s="5" t="s">
        <v>662</v>
      </c>
      <c r="M153" s="6"/>
      <c r="N153" s="6"/>
      <c r="O153" s="4"/>
    </row>
    <row r="154">
      <c r="A154" s="5" t="s">
        <v>663</v>
      </c>
      <c r="B154" s="5" t="s">
        <v>664</v>
      </c>
      <c r="C154" s="5" t="str">
        <f>IFERROR(__xludf.DUMMYFUNCTION("LOWER(TRIM(REGEXREPLACE(B154, ""[[:punct:]]"", """")))"),"is coral recruitment limited by sedimentation at war in the pacific national historical park")</f>
        <v>is coral recruitment limited by sedimentation at war in the pacific national historical park</v>
      </c>
      <c r="D154" s="5" t="s">
        <v>665</v>
      </c>
      <c r="E154" s="6"/>
      <c r="F154" s="6"/>
      <c r="G154" s="6"/>
      <c r="H154" s="6"/>
      <c r="I154" s="6"/>
      <c r="J154" s="5">
        <v>2005.0</v>
      </c>
      <c r="K154" s="6"/>
      <c r="L154" s="5" t="s">
        <v>17</v>
      </c>
      <c r="M154" s="5" t="s">
        <v>666</v>
      </c>
      <c r="N154" s="6"/>
      <c r="O154" s="4"/>
    </row>
    <row r="155">
      <c r="A155" s="2" t="s">
        <v>667</v>
      </c>
      <c r="B155" s="2" t="s">
        <v>668</v>
      </c>
      <c r="C155" s="2" t="str">
        <f>IFERROR(__xludf.DUMMYFUNCTION("LOWER(TRIM(REGEXREPLACE(B155, ""[[:punct:]]"", """")))"),"associations of anomalous water temperature salinity and ph with change in water color of fish farming ponds")</f>
        <v>associations of anomalous water temperature salinity and ph with change in water color of fish farming ponds</v>
      </c>
      <c r="D155" s="2" t="s">
        <v>669</v>
      </c>
      <c r="E155" s="2">
        <v>54.0</v>
      </c>
      <c r="F155" s="2"/>
      <c r="G155" s="2"/>
      <c r="H155" s="2">
        <v>6.0</v>
      </c>
      <c r="I155" s="2" t="s">
        <v>670</v>
      </c>
      <c r="J155" s="2">
        <v>2023.0</v>
      </c>
      <c r="K155" s="2" t="s">
        <v>87</v>
      </c>
      <c r="L155" s="2" t="s">
        <v>671</v>
      </c>
      <c r="M155" s="2" t="s">
        <v>26</v>
      </c>
      <c r="N155" s="3"/>
    </row>
    <row r="156">
      <c r="A156" s="5" t="s">
        <v>672</v>
      </c>
      <c r="B156" s="5" t="s">
        <v>673</v>
      </c>
      <c r="C156" s="5" t="str">
        <f>IFERROR(__xludf.DUMMYFUNCTION("LOWER(TRIM(REGEXREPLACE(B156, ""[[:punct:]]"", """")))"),"machine learning application in aquatic health prediction")</f>
        <v>machine learning application in aquatic health prediction</v>
      </c>
      <c r="D156" s="5" t="s">
        <v>674</v>
      </c>
      <c r="E156" s="6"/>
      <c r="F156" s="6"/>
      <c r="G156" s="6"/>
      <c r="H156" s="6"/>
      <c r="I156" s="6"/>
      <c r="J156" s="6"/>
      <c r="K156" s="6"/>
      <c r="L156" s="5" t="s">
        <v>44</v>
      </c>
      <c r="M156" s="6"/>
      <c r="N156" s="6"/>
    </row>
    <row r="157">
      <c r="A157" s="5" t="s">
        <v>672</v>
      </c>
      <c r="B157" s="5" t="s">
        <v>673</v>
      </c>
      <c r="C157" s="5" t="str">
        <f>IFERROR(__xludf.DUMMYFUNCTION("LOWER(TRIM(REGEXREPLACE(B157, ""[[:punct:]]"", """")))"),"machine learning application in aquatic health prediction")</f>
        <v>machine learning application in aquatic health prediction</v>
      </c>
      <c r="D157" s="5" t="s">
        <v>674</v>
      </c>
      <c r="E157" s="6"/>
      <c r="F157" s="6"/>
      <c r="G157" s="6"/>
      <c r="H157" s="6"/>
      <c r="I157" s="5" t="s">
        <v>675</v>
      </c>
      <c r="J157" s="5">
        <v>2026.0</v>
      </c>
      <c r="K157" s="5" t="s">
        <v>209</v>
      </c>
      <c r="L157" s="5" t="s">
        <v>44</v>
      </c>
      <c r="M157" s="6"/>
      <c r="N157" s="6"/>
    </row>
    <row r="158">
      <c r="A158" s="5" t="s">
        <v>676</v>
      </c>
      <c r="B158" s="5" t="s">
        <v>677</v>
      </c>
      <c r="C158" s="5" t="str">
        <f>IFERROR(__xludf.DUMMYFUNCTION("LOWER(TRIM(REGEXREPLACE(B158, ""[[:punct:]]"", """")))"),"machine learning and deep learning—a review for ecologists")</f>
        <v>machine learning and deep learning—a review for ecologists</v>
      </c>
      <c r="D158" s="5" t="s">
        <v>597</v>
      </c>
      <c r="E158" s="5">
        <v>14.0</v>
      </c>
      <c r="F158" s="5"/>
      <c r="G158" s="5"/>
      <c r="H158" s="5">
        <v>4.0</v>
      </c>
      <c r="I158" s="5" t="s">
        <v>678</v>
      </c>
      <c r="J158" s="5">
        <v>2023.0</v>
      </c>
      <c r="K158" s="5" t="s">
        <v>87</v>
      </c>
      <c r="L158" s="5" t="s">
        <v>679</v>
      </c>
      <c r="M158" s="6"/>
      <c r="N158" s="6"/>
    </row>
    <row r="159">
      <c r="A159" s="5" t="s">
        <v>680</v>
      </c>
      <c r="B159" s="5" t="s">
        <v>681</v>
      </c>
      <c r="C159" s="5" t="str">
        <f>IFERROR(__xludf.DUMMYFUNCTION("LOWER(TRIM(REGEXREPLACE(B159, ""[[:punct:]]"", """")))"),"predictive modelling in aquatic ecosystems using bioinformatics")</f>
        <v>predictive modelling in aquatic ecosystems using bioinformatics</v>
      </c>
      <c r="D159" s="5" t="s">
        <v>674</v>
      </c>
      <c r="E159" s="6"/>
      <c r="F159" s="6"/>
      <c r="G159" s="6"/>
      <c r="H159" s="6"/>
      <c r="I159" s="5" t="s">
        <v>682</v>
      </c>
      <c r="J159" s="5">
        <v>2026.0</v>
      </c>
      <c r="K159" s="5" t="s">
        <v>209</v>
      </c>
      <c r="L159" s="5" t="s">
        <v>44</v>
      </c>
      <c r="M159" s="6"/>
      <c r="N159" s="6"/>
    </row>
    <row r="160">
      <c r="A160" s="5" t="s">
        <v>683</v>
      </c>
      <c r="B160" s="5" t="s">
        <v>684</v>
      </c>
      <c r="C160" s="5" t="str">
        <f>IFERROR(__xludf.DUMMYFUNCTION("LOWER(TRIM(REGEXREPLACE(B160, ""[[:punct:]]"", """")))"),"talk on ms 1314 2004 precast concrete piles")</f>
        <v>talk on ms 1314 2004 precast concrete piles</v>
      </c>
      <c r="D160" s="6"/>
      <c r="E160" s="6"/>
      <c r="F160" s="6"/>
      <c r="G160" s="6"/>
      <c r="H160" s="6"/>
      <c r="I160" s="6"/>
      <c r="J160" s="5">
        <v>2005.0</v>
      </c>
      <c r="K160" s="6"/>
      <c r="L160" s="5" t="s">
        <v>685</v>
      </c>
      <c r="M160" s="6"/>
      <c r="N160" s="6"/>
    </row>
    <row r="161">
      <c r="A161" s="5" t="s">
        <v>686</v>
      </c>
      <c r="B161" s="5" t="s">
        <v>687</v>
      </c>
      <c r="C161" s="5" t="str">
        <f>IFERROR(__xludf.DUMMYFUNCTION("LOWER(TRIM(REGEXREPLACE(B161, ""[[:punct:]]"", """")))"),"observations of novel invasive antscale insect interactions on the threatened vine tecomanthe speciosa in auckland")</f>
        <v>observations of novel invasive antscale insect interactions on the threatened vine tecomanthe speciosa in auckland</v>
      </c>
      <c r="D161" s="6"/>
      <c r="E161" s="6"/>
      <c r="F161" s="6"/>
      <c r="G161" s="6"/>
      <c r="H161" s="6"/>
      <c r="I161" s="6"/>
      <c r="J161" s="5">
        <v>2012.0</v>
      </c>
      <c r="K161" s="6"/>
      <c r="L161" s="5" t="s">
        <v>688</v>
      </c>
      <c r="M161" s="6"/>
      <c r="N161" s="6"/>
    </row>
    <row r="162">
      <c r="A162" s="5" t="s">
        <v>689</v>
      </c>
      <c r="B162" s="5" t="s">
        <v>690</v>
      </c>
      <c r="C162" s="5" t="str">
        <f>IFERROR(__xludf.DUMMYFUNCTION("LOWER(TRIM(REGEXREPLACE(B162, ""[[:punct:]]"", """")))"),"association of abnormal yantaiweihai coastal front with largescale algal bloom in winter in the northern shandong peninsula coastal waters")</f>
        <v>association of abnormal yantaiweihai coastal front with largescale algal bloom in winter in the northern shandong peninsula coastal waters</v>
      </c>
      <c r="D162" s="5" t="s">
        <v>691</v>
      </c>
      <c r="E162" s="6"/>
      <c r="F162" s="6"/>
      <c r="G162" s="6"/>
      <c r="H162" s="6"/>
      <c r="I162" s="5">
        <v>103622.0</v>
      </c>
      <c r="J162" s="5">
        <v>2025.0</v>
      </c>
      <c r="K162" s="5" t="s">
        <v>70</v>
      </c>
      <c r="L162" s="5" t="s">
        <v>17</v>
      </c>
      <c r="M162" s="5" t="s">
        <v>692</v>
      </c>
      <c r="N162" s="6"/>
    </row>
    <row r="163">
      <c r="A163" s="5" t="s">
        <v>693</v>
      </c>
      <c r="B163" s="5" t="s">
        <v>694</v>
      </c>
      <c r="C163" s="5" t="str">
        <f>IFERROR(__xludf.DUMMYFUNCTION("LOWER(TRIM(REGEXREPLACE(B163, ""[[:punct:]]"", """")))"),"a decade of optical remote sensing applications in marine biodiversity and benthic habitat monitoring a systematic review")</f>
        <v>a decade of optical remote sensing applications in marine biodiversity and benthic habitat monitoring a systematic review</v>
      </c>
      <c r="D163" s="5" t="s">
        <v>246</v>
      </c>
      <c r="E163" s="5">
        <v>18.0</v>
      </c>
      <c r="F163" s="5"/>
      <c r="G163" s="5"/>
      <c r="H163" s="5">
        <v>12.0</v>
      </c>
      <c r="I163" s="5">
        <v>1917.0</v>
      </c>
      <c r="J163" s="5">
        <v>2026.0</v>
      </c>
      <c r="K163" s="5" t="s">
        <v>180</v>
      </c>
      <c r="L163" s="5" t="s">
        <v>679</v>
      </c>
      <c r="M163" s="6"/>
      <c r="N163" s="6"/>
    </row>
    <row r="164">
      <c r="A164" s="5" t="s">
        <v>695</v>
      </c>
      <c r="B164" s="5" t="s">
        <v>696</v>
      </c>
      <c r="C164" s="5" t="str">
        <f>IFERROR(__xludf.DUMMYFUNCTION("LOWER(TRIM(REGEXREPLACE(B164, ""[[:punct:]]"", """")))"),"machine learning applications for fisheries—at scales from genomics to ecosystems")</f>
        <v>machine learning applications for fisheries—at scales from genomics to ecosystems</v>
      </c>
      <c r="D164" s="5" t="s">
        <v>697</v>
      </c>
      <c r="E164" s="5">
        <v>33.0</v>
      </c>
      <c r="F164" s="5"/>
      <c r="G164" s="5"/>
      <c r="H164" s="5">
        <v>2.0</v>
      </c>
      <c r="I164" s="5" t="s">
        <v>698</v>
      </c>
      <c r="J164" s="5">
        <v>2025.0</v>
      </c>
      <c r="K164" s="5" t="s">
        <v>59</v>
      </c>
      <c r="L164" s="5" t="s">
        <v>256</v>
      </c>
      <c r="M164" s="6"/>
      <c r="N164" s="6"/>
      <c r="O164" s="4"/>
    </row>
    <row r="165">
      <c r="A165" s="5" t="s">
        <v>699</v>
      </c>
      <c r="B165" s="5" t="s">
        <v>700</v>
      </c>
      <c r="C165" s="5" t="str">
        <f>IFERROR(__xludf.DUMMYFUNCTION("LOWER(TRIM(REGEXREPLACE(B165, ""[[:punct:]]"", """")))"),"detection of ecosystem changes using bioacoustics techniques")</f>
        <v>detection of ecosystem changes using bioacoustics techniques</v>
      </c>
      <c r="D165" s="5" t="s">
        <v>701</v>
      </c>
      <c r="E165" s="6"/>
      <c r="F165" s="6"/>
      <c r="G165" s="6"/>
      <c r="H165" s="6"/>
      <c r="I165" s="5" t="s">
        <v>702</v>
      </c>
      <c r="J165" s="5">
        <v>2026.0</v>
      </c>
      <c r="K165" s="5" t="s">
        <v>209</v>
      </c>
      <c r="L165" s="5" t="s">
        <v>703</v>
      </c>
      <c r="M165" s="6"/>
      <c r="N165" s="6"/>
      <c r="O165" s="4"/>
    </row>
    <row r="166">
      <c r="A166" s="5" t="s">
        <v>704</v>
      </c>
      <c r="B166" s="5" t="s">
        <v>705</v>
      </c>
      <c r="C166" s="5" t="str">
        <f>IFERROR(__xludf.DUMMYFUNCTION("LOWER(TRIM(REGEXREPLACE(B166, ""[[:punct:]]"", """")))"),"arthur green“a kabbalah for the environmental age” tikkun vol 14 no 5 septemberoctober 1999 3338")</f>
        <v>arthur green“a kabbalah for the environmental age” tikkun vol 14 no 5 septemberoctober 1999 3338</v>
      </c>
      <c r="D166" s="6"/>
      <c r="E166" s="6"/>
      <c r="F166" s="6"/>
      <c r="G166" s="6"/>
      <c r="H166" s="6"/>
      <c r="I166" s="6"/>
      <c r="J166" s="6"/>
      <c r="K166" s="6"/>
      <c r="L166" s="5" t="s">
        <v>706</v>
      </c>
      <c r="M166" s="6"/>
      <c r="N166" s="6"/>
      <c r="O166" s="4"/>
    </row>
    <row r="167">
      <c r="A167" s="5" t="s">
        <v>707</v>
      </c>
      <c r="B167" s="5" t="s">
        <v>708</v>
      </c>
      <c r="C167" s="5" t="str">
        <f>IFERROR(__xludf.DUMMYFUNCTION("LOWER(TRIM(REGEXREPLACE(B167, ""[[:punct:]]"", """")))"),"estimating species commonness and prevalence through unsupervised methods")</f>
        <v>estimating species commonness and prevalence through unsupervised methods</v>
      </c>
      <c r="D167" s="5" t="s">
        <v>77</v>
      </c>
      <c r="E167" s="5">
        <v>16.0</v>
      </c>
      <c r="F167" s="5"/>
      <c r="G167" s="5"/>
      <c r="H167" s="5">
        <v>1.0</v>
      </c>
      <c r="I167" s="5">
        <v>8331.0</v>
      </c>
      <c r="J167" s="5">
        <v>2026.0</v>
      </c>
      <c r="K167" s="5" t="s">
        <v>78</v>
      </c>
      <c r="L167" s="5" t="s">
        <v>709</v>
      </c>
      <c r="M167" s="6"/>
      <c r="N167" s="6"/>
      <c r="O167" s="4"/>
    </row>
    <row r="168">
      <c r="A168" s="5" t="s">
        <v>710</v>
      </c>
      <c r="B168" s="5" t="s">
        <v>711</v>
      </c>
      <c r="C168" s="5" t="str">
        <f>IFERROR(__xludf.DUMMYFUNCTION("LOWER(TRIM(REGEXREPLACE(B168, ""[[:punct:]]"", """")))"),"recognition of ocean floor manganese nodules by deep kernel fuzzy cmeans clustering of hyperspectral images")</f>
        <v>recognition of ocean floor manganese nodules by deep kernel fuzzy cmeans clustering of hyperspectral images</v>
      </c>
      <c r="D168" s="5" t="s">
        <v>712</v>
      </c>
      <c r="E168" s="5">
        <v>26.0</v>
      </c>
      <c r="F168" s="5"/>
      <c r="G168" s="5"/>
      <c r="H168" s="5">
        <v>8.0</v>
      </c>
      <c r="I168" s="5" t="s">
        <v>713</v>
      </c>
      <c r="J168" s="5">
        <v>2021.0</v>
      </c>
      <c r="K168" s="5" t="s">
        <v>714</v>
      </c>
      <c r="L168" s="5" t="s">
        <v>715</v>
      </c>
      <c r="M168" s="6"/>
      <c r="N168" s="6"/>
      <c r="O168" s="4"/>
    </row>
    <row r="169">
      <c r="A169" s="5" t="s">
        <v>716</v>
      </c>
      <c r="B169" s="5" t="s">
        <v>717</v>
      </c>
      <c r="C169" s="5" t="str">
        <f>IFERROR(__xludf.DUMMYFUNCTION("LOWER(TRIM(REGEXREPLACE(B169, ""[[:punct:]]"", """")))"),"machine learning is a powerful tool to study the effect of cancer on species and ecosystems")</f>
        <v>machine learning is a powerful tool to study the effect of cancer on species and ecosystems</v>
      </c>
      <c r="D169" s="5" t="s">
        <v>597</v>
      </c>
      <c r="E169" s="5">
        <v>12.0</v>
      </c>
      <c r="F169" s="5"/>
      <c r="G169" s="5"/>
      <c r="H169" s="5">
        <v>12.0</v>
      </c>
      <c r="I169" s="5" t="s">
        <v>718</v>
      </c>
      <c r="J169" s="5">
        <v>2021.0</v>
      </c>
      <c r="K169" s="5" t="s">
        <v>87</v>
      </c>
      <c r="L169" s="5" t="s">
        <v>719</v>
      </c>
      <c r="M169" s="6"/>
      <c r="N169" s="6"/>
      <c r="O169" s="4"/>
    </row>
    <row r="170">
      <c r="A170" s="5" t="s">
        <v>720</v>
      </c>
      <c r="B170" s="5" t="s">
        <v>721</v>
      </c>
      <c r="C170" s="5" t="str">
        <f>IFERROR(__xludf.DUMMYFUNCTION("LOWER(TRIM(REGEXREPLACE(B170, ""[[:punct:]]"", """")))"),"spectralyolov13 a dualdomain visionmamba sensing framework for finegrained coral health assessment and continuous ecological forecasting")</f>
        <v>spectralyolov13 a dualdomain visionmamba sensing framework for finegrained coral health assessment and continuous ecological forecasting</v>
      </c>
      <c r="D170" s="5" t="s">
        <v>179</v>
      </c>
      <c r="E170" s="5">
        <v>26.0</v>
      </c>
      <c r="F170" s="5"/>
      <c r="G170" s="5"/>
      <c r="H170" s="5">
        <v>10.0</v>
      </c>
      <c r="I170" s="5">
        <v>3265.0</v>
      </c>
      <c r="J170" s="5">
        <v>2026.0</v>
      </c>
      <c r="K170" s="5" t="s">
        <v>180</v>
      </c>
      <c r="L170" s="5" t="s">
        <v>71</v>
      </c>
      <c r="M170" s="6"/>
      <c r="N170" s="6"/>
      <c r="O170" s="4"/>
    </row>
    <row r="171">
      <c r="A171" s="5" t="s">
        <v>722</v>
      </c>
      <c r="B171" s="5" t="s">
        <v>723</v>
      </c>
      <c r="C171" s="5" t="str">
        <f>IFERROR(__xludf.DUMMYFUNCTION("LOWER(TRIM(REGEXREPLACE(B171, ""[[:punct:]]"", """")))"),"the critical role of monitoring in offshore carbon capture and storage")</f>
        <v>the critical role of monitoring in offshore carbon capture and storage</v>
      </c>
      <c r="D171" s="5" t="s">
        <v>724</v>
      </c>
      <c r="E171" s="6"/>
      <c r="F171" s="6"/>
      <c r="G171" s="6"/>
      <c r="H171" s="6"/>
      <c r="I171" s="5" t="s">
        <v>725</v>
      </c>
      <c r="J171" s="5">
        <v>2026.0</v>
      </c>
      <c r="K171" s="5" t="s">
        <v>726</v>
      </c>
      <c r="L171" s="5" t="s">
        <v>727</v>
      </c>
      <c r="M171" s="6"/>
      <c r="N171" s="6"/>
      <c r="O171" s="4"/>
    </row>
    <row r="172">
      <c r="A172" s="5" t="s">
        <v>728</v>
      </c>
      <c r="B172" s="5" t="s">
        <v>729</v>
      </c>
      <c r="C172" s="5" t="str">
        <f>IFERROR(__xludf.DUMMYFUNCTION("LOWER(TRIM(REGEXREPLACE(B172, ""[[:punct:]]"", """")))"),"edge ai and explainable models for realtime decisionmaking in ocean renewable energy systems")</f>
        <v>edge ai and explainable models for realtime decisionmaking in ocean renewable energy systems</v>
      </c>
      <c r="D172" s="5" t="s">
        <v>730</v>
      </c>
      <c r="E172" s="6"/>
      <c r="F172" s="6"/>
      <c r="G172" s="6"/>
      <c r="H172" s="6"/>
      <c r="I172" s="5" t="s">
        <v>731</v>
      </c>
      <c r="J172" s="5">
        <v>2025.0</v>
      </c>
      <c r="K172" s="6"/>
      <c r="L172" s="5" t="s">
        <v>297</v>
      </c>
      <c r="M172" s="6"/>
      <c r="N172" s="6"/>
      <c r="O172" s="4"/>
    </row>
    <row r="173">
      <c r="A173" s="5" t="s">
        <v>732</v>
      </c>
      <c r="B173" s="5" t="s">
        <v>733</v>
      </c>
      <c r="C173" s="5" t="str">
        <f>IFERROR(__xludf.DUMMYFUNCTION("LOWER(TRIM(REGEXREPLACE(B173, ""[[:punct:]]"", """")))"),"humannature interaction in the anthropocene")</f>
        <v>humannature interaction in the anthropocene</v>
      </c>
      <c r="D173" s="6"/>
      <c r="E173" s="6"/>
      <c r="F173" s="6"/>
      <c r="G173" s="6"/>
      <c r="H173" s="6"/>
      <c r="I173" s="6"/>
      <c r="J173" s="5">
        <v>2008.0</v>
      </c>
      <c r="K173" s="6"/>
      <c r="L173" s="5" t="s">
        <v>734</v>
      </c>
      <c r="M173" s="6"/>
      <c r="N173" s="6"/>
      <c r="O173" s="4"/>
      <c r="P173" s="4"/>
    </row>
    <row r="174">
      <c r="A174" s="5" t="s">
        <v>735</v>
      </c>
      <c r="B174" s="5" t="s">
        <v>736</v>
      </c>
      <c r="C174" s="5" t="str">
        <f>IFERROR(__xludf.DUMMYFUNCTION("LOWER(TRIM(REGEXREPLACE(B174, ""[[:punct:]]"", """")))"),"a hybrid prediction model based on decomposition algorithm and sample entropyweighted attention mechanism for mobile robot agricultural environment monitoring")</f>
        <v>a hybrid prediction model based on decomposition algorithm and sample entropyweighted attention mechanism for mobile robot agricultural environment monitoring</v>
      </c>
      <c r="D174" s="5" t="s">
        <v>737</v>
      </c>
      <c r="E174" s="5">
        <v>195.0</v>
      </c>
      <c r="F174" s="6"/>
      <c r="G174" s="6"/>
      <c r="H174" s="6"/>
      <c r="I174" s="6"/>
      <c r="J174" s="5">
        <v>2026.0</v>
      </c>
      <c r="K174" s="5" t="s">
        <v>70</v>
      </c>
      <c r="L174" s="5" t="s">
        <v>738</v>
      </c>
      <c r="M174" s="6"/>
      <c r="N174" s="6"/>
      <c r="O174" s="4"/>
      <c r="P174" s="4"/>
    </row>
    <row r="175">
      <c r="A175" s="5" t="s">
        <v>739</v>
      </c>
      <c r="B175" s="5" t="s">
        <v>740</v>
      </c>
      <c r="C175" s="5" t="str">
        <f>IFERROR(__xludf.DUMMYFUNCTION("LOWER(TRIM(REGEXREPLACE(B175, ""[[:punct:]]"", """")))"),"a complex species complex the controversial role of ecology and biogeography in the evolutionary history of syllis gracilis grube 1840 annelida syllidae")</f>
        <v>a complex species complex the controversial role of ecology and biogeography in the evolutionary history of syllis gracilis grube 1840 annelida syllidae</v>
      </c>
      <c r="D175" s="5" t="s">
        <v>741</v>
      </c>
      <c r="E175" s="6"/>
      <c r="F175" s="6"/>
      <c r="G175" s="6"/>
      <c r="H175" s="6"/>
      <c r="I175" s="6"/>
      <c r="J175" s="5">
        <v>2019.0</v>
      </c>
      <c r="K175" s="6"/>
      <c r="L175" s="5" t="s">
        <v>742</v>
      </c>
      <c r="M175" s="6"/>
      <c r="N175" s="6"/>
      <c r="O175" s="4"/>
      <c r="P175" s="4"/>
    </row>
    <row r="176">
      <c r="A176" s="5" t="s">
        <v>743</v>
      </c>
      <c r="B176" s="5" t="s">
        <v>744</v>
      </c>
      <c r="C176" s="5" t="str">
        <f>IFERROR(__xludf.DUMMYFUNCTION("LOWER(TRIM(REGEXREPLACE(B176, ""[[:punct:]]"", """")))"),"benthic diatoms and macroinvertebrates in the assessment of the ecological status of azorean streams")</f>
        <v>benthic diatoms and macroinvertebrates in the assessment of the ecological status of azorean streams</v>
      </c>
      <c r="D176" s="5" t="s">
        <v>745</v>
      </c>
      <c r="E176" s="6"/>
      <c r="F176" s="6"/>
      <c r="G176" s="6"/>
      <c r="H176" s="6"/>
      <c r="I176" s="6"/>
      <c r="J176" s="5">
        <v>2008.0</v>
      </c>
      <c r="K176" s="6"/>
      <c r="L176" s="5" t="s">
        <v>746</v>
      </c>
      <c r="M176" s="6"/>
      <c r="N176" s="6"/>
      <c r="O176" s="4"/>
      <c r="P176" s="4"/>
    </row>
    <row r="177">
      <c r="A177" s="5" t="s">
        <v>747</v>
      </c>
      <c r="B177" s="5" t="s">
        <v>748</v>
      </c>
      <c r="C177" s="5" t="str">
        <f>IFERROR(__xludf.DUMMYFUNCTION("LOWER(TRIM(REGEXREPLACE(B177, ""[[:punct:]]"", """")))"),"unsupervised acoustic classification of individual gibbon females and the implications for passive acoustic monitoring")</f>
        <v>unsupervised acoustic classification of individual gibbon females and the implications for passive acoustic monitoring</v>
      </c>
      <c r="D177" s="5" t="s">
        <v>597</v>
      </c>
      <c r="E177" s="5">
        <v>12.0</v>
      </c>
      <c r="F177" s="5"/>
      <c r="G177" s="5"/>
      <c r="H177" s="5">
        <v>2.0</v>
      </c>
      <c r="I177" s="5" t="s">
        <v>749</v>
      </c>
      <c r="J177" s="5">
        <v>2021.0</v>
      </c>
      <c r="K177" s="5" t="s">
        <v>87</v>
      </c>
      <c r="L177" s="5" t="s">
        <v>750</v>
      </c>
      <c r="M177" s="6"/>
      <c r="N177" s="6"/>
      <c r="O177" s="4"/>
      <c r="P177" s="4"/>
    </row>
    <row r="178">
      <c r="A178" s="5" t="s">
        <v>751</v>
      </c>
      <c r="B178" s="5" t="s">
        <v>752</v>
      </c>
      <c r="C178" s="5" t="str">
        <f>IFERROR(__xludf.DUMMYFUNCTION("LOWER(TRIM(REGEXREPLACE(B178, ""[[:punct:]]"", """")))"),"spatial and temporal variations of marine benthic infauna community in bahrain")</f>
        <v>spatial and temporal variations of marine benthic infauna community in bahrain</v>
      </c>
      <c r="D178" s="6"/>
      <c r="E178" s="6"/>
      <c r="F178" s="6"/>
      <c r="G178" s="6"/>
      <c r="H178" s="6"/>
      <c r="I178" s="6"/>
      <c r="J178" s="6"/>
      <c r="K178" s="6"/>
      <c r="L178" s="5" t="s">
        <v>753</v>
      </c>
      <c r="M178" s="6"/>
      <c r="N178" s="6"/>
      <c r="O178" s="4"/>
      <c r="P178" s="4"/>
    </row>
    <row r="179">
      <c r="A179" s="5" t="s">
        <v>754</v>
      </c>
      <c r="B179" s="5" t="s">
        <v>755</v>
      </c>
      <c r="C179" s="5" t="str">
        <f>IFERROR(__xludf.DUMMYFUNCTION("LOWER(TRIM(REGEXREPLACE(B179, ""[[:punct:]]"", """")))"),"study of biodiversity and ecology using")</f>
        <v>study of biodiversity and ecology using</v>
      </c>
      <c r="D179" s="5" t="s">
        <v>756</v>
      </c>
      <c r="E179" s="6"/>
      <c r="F179" s="6"/>
      <c r="G179" s="6"/>
      <c r="H179" s="6"/>
      <c r="I179" s="5">
        <v>299.0</v>
      </c>
      <c r="J179" s="5">
        <v>2026.0</v>
      </c>
      <c r="K179" s="5" t="s">
        <v>82</v>
      </c>
      <c r="L179" s="5" t="s">
        <v>757</v>
      </c>
      <c r="M179" s="6"/>
      <c r="N179" s="6"/>
      <c r="O179" s="4"/>
      <c r="P179" s="4"/>
    </row>
    <row r="180">
      <c r="A180" s="5" t="s">
        <v>758</v>
      </c>
      <c r="B180" s="5" t="s">
        <v>759</v>
      </c>
      <c r="C180" s="5" t="str">
        <f>IFERROR(__xludf.DUMMYFUNCTION("LOWER(TRIM(REGEXREPLACE(B180, ""[[:punct:]]"", """")))"),"smart ecosystem modelling for realtime coral reef deoxygenation mitigation")</f>
        <v>smart ecosystem modelling for realtime coral reef deoxygenation mitigation</v>
      </c>
      <c r="D180" s="5" t="s">
        <v>760</v>
      </c>
      <c r="E180" s="6"/>
      <c r="F180" s="6"/>
      <c r="G180" s="6"/>
      <c r="H180" s="6"/>
      <c r="I180" s="7">
        <v>46028.0</v>
      </c>
      <c r="J180" s="5">
        <v>2025.0</v>
      </c>
      <c r="K180" s="5" t="s">
        <v>16</v>
      </c>
      <c r="L180" s="5" t="s">
        <v>44</v>
      </c>
      <c r="M180" s="6"/>
      <c r="N180" s="6"/>
      <c r="O180" s="4"/>
    </row>
    <row r="181">
      <c r="A181" s="5" t="s">
        <v>761</v>
      </c>
      <c r="B181" s="5" t="s">
        <v>762</v>
      </c>
      <c r="C181" s="5" t="str">
        <f>IFERROR(__xludf.DUMMYFUNCTION("LOWER(TRIM(REGEXREPLACE(B181, ""[[:punct:]]"", """")))"),"smart coral classification from reef imagery using deep cnn techniques")</f>
        <v>smart coral classification from reef imagery using deep cnn techniques</v>
      </c>
      <c r="D181" s="5" t="s">
        <v>763</v>
      </c>
      <c r="E181" s="5">
        <v>3049.0</v>
      </c>
      <c r="F181" s="6"/>
      <c r="G181" s="6"/>
      <c r="H181" s="6"/>
      <c r="I181" s="5">
        <v>952.0</v>
      </c>
      <c r="J181" s="6"/>
      <c r="K181" s="6"/>
      <c r="L181" s="5" t="s">
        <v>44</v>
      </c>
      <c r="M181" s="6"/>
      <c r="N181" s="6"/>
      <c r="O181" s="4"/>
    </row>
    <row r="182">
      <c r="A182" s="5" t="s">
        <v>764</v>
      </c>
      <c r="B182" s="5" t="s">
        <v>765</v>
      </c>
      <c r="C182" s="5" t="str">
        <f>IFERROR(__xludf.DUMMYFUNCTION("LOWER(TRIM(REGEXREPLACE(B182, ""[[:punct:]]"", """")))"),"machine learning driven image segmentation and shape clustering of algal microscopic images obtained from various water types")</f>
        <v>machine learning driven image segmentation and shape clustering of algal microscopic images obtained from various water types</v>
      </c>
      <c r="D182" s="6"/>
      <c r="E182" s="6"/>
      <c r="F182" s="6"/>
      <c r="G182" s="6"/>
      <c r="H182" s="6"/>
      <c r="I182" s="6"/>
      <c r="J182" s="5">
        <v>2024.0</v>
      </c>
      <c r="K182" s="6"/>
      <c r="L182" s="5" t="s">
        <v>44</v>
      </c>
      <c r="M182" s="6"/>
      <c r="N182" s="6"/>
      <c r="O182" s="4"/>
    </row>
    <row r="183">
      <c r="A183" s="5" t="s">
        <v>766</v>
      </c>
      <c r="B183" s="5" t="s">
        <v>767</v>
      </c>
      <c r="C183" s="5" t="str">
        <f>IFERROR(__xludf.DUMMYFUNCTION("LOWER(TRIM(REGEXREPLACE(B183, ""[[:punct:]]"", """")))"),"weakly supervised segmentation of macroalgae through gradient analysis in convolutional neural networks and segment anything model")</f>
        <v>weakly supervised segmentation of macroalgae through gradient analysis in convolutional neural networks and segment anything model</v>
      </c>
      <c r="D183" s="5" t="s">
        <v>384</v>
      </c>
      <c r="E183" s="5">
        <v>16.0</v>
      </c>
      <c r="F183" s="5"/>
      <c r="G183" s="5"/>
      <c r="H183" s="5">
        <v>17.0</v>
      </c>
      <c r="I183" s="5">
        <v>8470.0</v>
      </c>
      <c r="J183" s="5">
        <v>2026.0</v>
      </c>
      <c r="K183" s="5" t="s">
        <v>180</v>
      </c>
      <c r="L183" s="5" t="s">
        <v>768</v>
      </c>
      <c r="M183" s="6"/>
      <c r="N183" s="6"/>
      <c r="O183" s="4"/>
    </row>
    <row r="184">
      <c r="A184" s="5" t="s">
        <v>769</v>
      </c>
      <c r="B184" s="5" t="s">
        <v>770</v>
      </c>
      <c r="C184" s="5" t="str">
        <f>IFERROR(__xludf.DUMMYFUNCTION("LOWER(TRIM(REGEXREPLACE(B184, ""[[:punct:]]"", """")))"),"adoption of machine learning techniques in ecology and earth science one ecosystem 1 e8621")</f>
        <v>adoption of machine learning techniques in ecology and earth science one ecosystem 1 e8621</v>
      </c>
      <c r="D184" s="6"/>
      <c r="E184" s="6"/>
      <c r="F184" s="6"/>
      <c r="G184" s="6"/>
      <c r="H184" s="6"/>
      <c r="I184" s="6"/>
      <c r="J184" s="5">
        <v>2016.0</v>
      </c>
      <c r="K184" s="6"/>
      <c r="L184" s="5" t="s">
        <v>771</v>
      </c>
      <c r="M184" s="6"/>
      <c r="N184" s="6"/>
      <c r="O184" s="4"/>
    </row>
    <row r="185">
      <c r="A185" s="5" t="s">
        <v>772</v>
      </c>
      <c r="B185" s="5" t="s">
        <v>773</v>
      </c>
      <c r="C185" s="5" t="str">
        <f>IFERROR(__xludf.DUMMYFUNCTION("LOWER(TRIM(REGEXREPLACE(B185, ""[[:punct:]]"", """")))"),"two critical radii dominate phytoplankton response to marine heatwaves in the south china sea")</f>
        <v>two critical radii dominate phytoplankton response to marine heatwaves in the south china sea</v>
      </c>
      <c r="D185" s="5" t="s">
        <v>774</v>
      </c>
      <c r="E185" s="5">
        <v>131.0</v>
      </c>
      <c r="F185" s="5"/>
      <c r="G185" s="5"/>
      <c r="H185" s="5">
        <v>2.0</v>
      </c>
      <c r="I185" s="5" t="s">
        <v>775</v>
      </c>
      <c r="J185" s="5">
        <v>2026.0</v>
      </c>
      <c r="K185" s="5" t="s">
        <v>87</v>
      </c>
      <c r="L185" s="5" t="s">
        <v>776</v>
      </c>
      <c r="M185" s="6"/>
      <c r="N185" s="6"/>
      <c r="O185" s="4"/>
    </row>
    <row r="186">
      <c r="A186" s="5" t="s">
        <v>777</v>
      </c>
      <c r="B186" s="5" t="s">
        <v>778</v>
      </c>
      <c r="C186" s="5" t="str">
        <f>IFERROR(__xludf.DUMMYFUNCTION("LOWER(TRIM(REGEXREPLACE(B186, ""[[:punct:]]"", """")))"),"oxygen microenvironment of coralline algal tufts and their associated epiphytic animals")</f>
        <v>oxygen microenvironment of coralline algal tufts and their associated epiphytic animals</v>
      </c>
      <c r="D186" s="5" t="s">
        <v>779</v>
      </c>
      <c r="E186" s="6"/>
      <c r="F186" s="6"/>
      <c r="G186" s="6"/>
      <c r="H186" s="6"/>
      <c r="I186" s="6"/>
      <c r="J186" s="5">
        <v>2011.0</v>
      </c>
      <c r="K186" s="6"/>
      <c r="L186" s="5" t="s">
        <v>780</v>
      </c>
      <c r="M186" s="6"/>
      <c r="N186" s="6"/>
      <c r="O186" s="4"/>
    </row>
    <row r="187">
      <c r="A187" s="5" t="s">
        <v>781</v>
      </c>
      <c r="B187" s="5" t="s">
        <v>782</v>
      </c>
      <c r="C187" s="5" t="str">
        <f>IFERROR(__xludf.DUMMYFUNCTION("LOWER(TRIM(REGEXREPLACE(B187, ""[[:punct:]]"", """")))"),"exploring oceanic depths unveiling hidden treasures with iot and ensembled deep hybrid learning model")</f>
        <v>exploring oceanic depths unveiling hidden treasures with iot and ensembled deep hybrid learning model</v>
      </c>
      <c r="D187" s="5" t="s">
        <v>77</v>
      </c>
      <c r="E187" s="5">
        <v>16.0</v>
      </c>
      <c r="F187" s="5"/>
      <c r="G187" s="5"/>
      <c r="H187" s="5">
        <v>1.0</v>
      </c>
      <c r="I187" s="5">
        <v>5333.0</v>
      </c>
      <c r="J187" s="5">
        <v>2026.0</v>
      </c>
      <c r="K187" s="5" t="s">
        <v>78</v>
      </c>
      <c r="L187" s="5" t="s">
        <v>783</v>
      </c>
      <c r="M187" s="6"/>
      <c r="N187" s="6"/>
      <c r="O187" s="4"/>
    </row>
    <row r="188">
      <c r="A188" s="5" t="s">
        <v>784</v>
      </c>
      <c r="B188" s="5" t="s">
        <v>785</v>
      </c>
      <c r="C188" s="5" t="str">
        <f>IFERROR(__xludf.DUMMYFUNCTION("LOWER(TRIM(REGEXREPLACE(B188, ""[[:punct:]]"", """")))"),"biodegradable nanorobots meet edge computing sustainable intelligence in the soil")</f>
        <v>biodegradable nanorobots meet edge computing sustainable intelligence in the soil</v>
      </c>
      <c r="D188" s="5" t="s">
        <v>786</v>
      </c>
      <c r="E188" s="6"/>
      <c r="F188" s="6"/>
      <c r="G188" s="6"/>
      <c r="H188" s="6"/>
      <c r="I188" s="6"/>
      <c r="J188" s="5">
        <v>2026.0</v>
      </c>
      <c r="K188" s="5" t="s">
        <v>16</v>
      </c>
      <c r="L188" s="5" t="s">
        <v>787</v>
      </c>
      <c r="M188" s="6"/>
      <c r="N188" s="6"/>
      <c r="O188" s="4"/>
    </row>
    <row r="189">
      <c r="A189" s="5" t="s">
        <v>788</v>
      </c>
      <c r="B189" s="5" t="s">
        <v>789</v>
      </c>
      <c r="C189" s="5" t="str">
        <f>IFERROR(__xludf.DUMMYFUNCTION("LOWER(TRIM(REGEXREPLACE(B189, ""[[:punct:]]"", """")))"),"climate control on the long‐term anomalous changes of zooplankton communities in the northwestern mediterranean")</f>
        <v>climate control on the long‐term anomalous changes of zooplankton communities in the northwestern mediterranean</v>
      </c>
      <c r="D189" s="5" t="s">
        <v>790</v>
      </c>
      <c r="E189" s="5">
        <v>14.0</v>
      </c>
      <c r="F189" s="5"/>
      <c r="G189" s="5"/>
      <c r="H189" s="5">
        <v>1.0</v>
      </c>
      <c r="I189" s="7">
        <v>46352.0</v>
      </c>
      <c r="J189" s="5">
        <v>2008.0</v>
      </c>
      <c r="K189" s="5" t="s">
        <v>87</v>
      </c>
      <c r="L189" s="5" t="s">
        <v>44</v>
      </c>
      <c r="M189" s="6"/>
      <c r="N189" s="6"/>
      <c r="O189" s="4"/>
    </row>
    <row r="190">
      <c r="A190" s="5" t="s">
        <v>791</v>
      </c>
      <c r="B190" s="5" t="s">
        <v>792</v>
      </c>
      <c r="C190" s="5" t="str">
        <f>IFERROR(__xludf.DUMMYFUNCTION("LOWER(TRIM(REGEXREPLACE(B190, ""[[:punct:]]"", """")))"),"a global probabilistic prediction of cold seeps and associated seafloor fluid expulsion anomalies seafleas")</f>
        <v>a global probabilistic prediction of cold seeps and associated seafloor fluid expulsion anomalies seafleas</v>
      </c>
      <c r="D190" s="5" t="s">
        <v>793</v>
      </c>
      <c r="E190" s="5">
        <v>21.0</v>
      </c>
      <c r="F190" s="5"/>
      <c r="G190" s="5"/>
      <c r="H190" s="5">
        <v>1.0</v>
      </c>
      <c r="I190" s="5" t="s">
        <v>794</v>
      </c>
      <c r="J190" s="5">
        <v>2020.0</v>
      </c>
      <c r="K190" s="5" t="s">
        <v>87</v>
      </c>
      <c r="L190" s="5" t="s">
        <v>795</v>
      </c>
      <c r="M190" s="6"/>
      <c r="N190" s="6"/>
      <c r="O190" s="4"/>
    </row>
    <row r="191">
      <c r="A191" s="5" t="s">
        <v>796</v>
      </c>
      <c r="B191" s="5" t="s">
        <v>797</v>
      </c>
      <c r="C191" s="5" t="str">
        <f>IFERROR(__xludf.DUMMYFUNCTION("LOWER(TRIM(REGEXREPLACE(B191, ""[[:punct:]]"", """")))"),"welldefined networks with precisely located cleavable sites structure optimization and core functionality determination")</f>
        <v>welldefined networks with precisely located cleavable sites structure optimization and core functionality determination</v>
      </c>
      <c r="D191" s="5" t="s">
        <v>798</v>
      </c>
      <c r="E191" s="6"/>
      <c r="F191" s="6"/>
      <c r="G191" s="6"/>
      <c r="H191" s="6"/>
      <c r="I191" s="6"/>
      <c r="J191" s="5">
        <v>2008.0</v>
      </c>
      <c r="K191" s="6"/>
      <c r="L191" s="5" t="s">
        <v>685</v>
      </c>
      <c r="M191" s="6"/>
      <c r="N191" s="6"/>
      <c r="O191" s="4"/>
    </row>
    <row r="192">
      <c r="A192" s="5" t="s">
        <v>799</v>
      </c>
      <c r="B192" s="5" t="s">
        <v>800</v>
      </c>
      <c r="C192" s="5" t="str">
        <f>IFERROR(__xludf.DUMMYFUNCTION("LOWER(TRIM(REGEXREPLACE(B192, ""[[:punct:]]"", """")))"),"prediction of the temperature profiles using the generative model and the stacking ensemble method in a marginal sea")</f>
        <v>prediction of the temperature profiles using the generative model and the stacking ensemble method in a marginal sea</v>
      </c>
      <c r="D192" s="5" t="s">
        <v>801</v>
      </c>
      <c r="E192" s="6"/>
      <c r="F192" s="6"/>
      <c r="G192" s="6"/>
      <c r="H192" s="6"/>
      <c r="I192" s="5">
        <v>100341.0</v>
      </c>
      <c r="J192" s="5">
        <v>2026.0</v>
      </c>
      <c r="K192" s="5" t="s">
        <v>70</v>
      </c>
      <c r="L192" s="5" t="s">
        <v>802</v>
      </c>
      <c r="M192" s="6"/>
      <c r="N192" s="6"/>
      <c r="O192" s="4"/>
    </row>
    <row r="193">
      <c r="A193" s="5" t="s">
        <v>803</v>
      </c>
      <c r="B193" s="5" t="s">
        <v>804</v>
      </c>
      <c r="C193" s="5" t="str">
        <f>IFERROR(__xludf.DUMMYFUNCTION("LOWER(TRIM(REGEXREPLACE(B193, ""[[:punct:]]"", """")))"),"biodiversidad genética de organismos marinos en el parque nacional de cabrera aplicaciones para la conservación")</f>
        <v>biodiversidad genética de organismos marinos en el parque nacional de cabrera aplicaciones para la conservación</v>
      </c>
      <c r="D193" s="6"/>
      <c r="E193" s="6"/>
      <c r="F193" s="6"/>
      <c r="G193" s="6"/>
      <c r="H193" s="6"/>
      <c r="I193" s="6"/>
      <c r="J193" s="5">
        <v>2009.0</v>
      </c>
      <c r="K193" s="6"/>
      <c r="L193" s="5" t="s">
        <v>805</v>
      </c>
      <c r="M193" s="6"/>
      <c r="N193" s="6"/>
      <c r="O193" s="4"/>
    </row>
    <row r="194">
      <c r="A194" s="5" t="s">
        <v>806</v>
      </c>
      <c r="B194" s="5" t="s">
        <v>807</v>
      </c>
      <c r="C194" s="5" t="str">
        <f>IFERROR(__xludf.DUMMYFUNCTION("LOWER(TRIM(REGEXREPLACE(B194, ""[[:punct:]]"", """")))"),"fishery knowledgeguided machine learning for spatial prediction of catchperuniteffort")</f>
        <v>fishery knowledgeguided machine learning for spatial prediction of catchperuniteffort</v>
      </c>
      <c r="D194" s="5" t="s">
        <v>808</v>
      </c>
      <c r="E194" s="5">
        <v>182.0</v>
      </c>
      <c r="F194" s="6"/>
      <c r="G194" s="6"/>
      <c r="H194" s="6"/>
      <c r="I194" s="5">
        <v>114586.0</v>
      </c>
      <c r="J194" s="5">
        <v>2026.0</v>
      </c>
      <c r="K194" s="5" t="s">
        <v>70</v>
      </c>
      <c r="L194" s="5" t="s">
        <v>809</v>
      </c>
      <c r="M194" s="6"/>
      <c r="N194" s="6"/>
      <c r="O194" s="4"/>
    </row>
    <row r="195">
      <c r="A195" s="5" t="s">
        <v>810</v>
      </c>
      <c r="B195" s="5" t="s">
        <v>811</v>
      </c>
      <c r="C195" s="5" t="str">
        <f>IFERROR(__xludf.DUMMYFUNCTION("LOWER(TRIM(REGEXREPLACE(B195, ""[[:punct:]]"", """")))"),"relayed hohaha a useful method for extracting subspectra of individual components of sugar chains")</f>
        <v>relayed hohaha a useful method for extracting subspectra of individual components of sugar chains</v>
      </c>
      <c r="D195" s="5" t="s">
        <v>812</v>
      </c>
      <c r="E195" s="6"/>
      <c r="F195" s="6"/>
      <c r="G195" s="6"/>
      <c r="H195" s="6"/>
      <c r="I195" s="6"/>
      <c r="J195" s="5">
        <v>1989.0</v>
      </c>
      <c r="K195" s="6"/>
      <c r="L195" s="5" t="s">
        <v>813</v>
      </c>
      <c r="M195" s="6"/>
      <c r="N195" s="6"/>
      <c r="O195" s="4"/>
    </row>
    <row r="196">
      <c r="A196" s="5" t="s">
        <v>814</v>
      </c>
      <c r="B196" s="5" t="s">
        <v>815</v>
      </c>
      <c r="C196" s="5" t="str">
        <f>IFERROR(__xludf.DUMMYFUNCTION("LOWER(TRIM(REGEXREPLACE(B196, ""[[:punct:]]"", """")))"),"state of the art analysis of deep learning techniques in images acquired in an aquatic environment")</f>
        <v>state of the art analysis of deep learning techniques in images acquired in an aquatic environment</v>
      </c>
      <c r="D196" s="5" t="s">
        <v>816</v>
      </c>
      <c r="E196" s="5">
        <v>8.0</v>
      </c>
      <c r="F196" s="5"/>
      <c r="G196" s="5"/>
      <c r="H196" s="5">
        <v>5.0</v>
      </c>
      <c r="I196" s="5">
        <v>131.0</v>
      </c>
      <c r="J196" s="5">
        <v>2026.0</v>
      </c>
      <c r="K196" s="5" t="s">
        <v>817</v>
      </c>
      <c r="L196" s="5" t="s">
        <v>818</v>
      </c>
      <c r="M196" s="6"/>
      <c r="N196" s="6"/>
      <c r="O196" s="4"/>
    </row>
    <row r="197">
      <c r="A197" s="5" t="s">
        <v>819</v>
      </c>
      <c r="B197" s="5" t="s">
        <v>820</v>
      </c>
      <c r="C197" s="5" t="str">
        <f>IFERROR(__xludf.DUMMYFUNCTION("LOWER(TRIM(REGEXREPLACE(B197, ""[[:punct:]]"", """")))"),"coral bleaching and mortality in the chagos archipelago")</f>
        <v>coral bleaching and mortality in the chagos archipelago</v>
      </c>
      <c r="D197" s="5" t="s">
        <v>821</v>
      </c>
      <c r="E197" s="6"/>
      <c r="F197" s="6"/>
      <c r="G197" s="6"/>
      <c r="H197" s="6"/>
      <c r="I197" s="6"/>
      <c r="J197" s="6"/>
      <c r="K197" s="6"/>
      <c r="L197" s="5" t="s">
        <v>822</v>
      </c>
      <c r="M197" s="6"/>
      <c r="N197" s="6"/>
      <c r="O197" s="4"/>
    </row>
    <row r="198">
      <c r="A198" s="5" t="s">
        <v>23</v>
      </c>
      <c r="B198" s="5" t="s">
        <v>823</v>
      </c>
      <c r="C198" s="5" t="str">
        <f>IFERROR(__xludf.DUMMYFUNCTION("LOWER(TRIM(REGEXREPLACE(B198, ""[[:punct:]]"", """")))"),"universit yo fedinburg h doctor of philosophy institute of perception action and behaviour school of informatics")</f>
        <v>universit yo fedinburg h doctor of philosophy institute of perception action and behaviour school of informatics</v>
      </c>
      <c r="D198" s="6"/>
      <c r="E198" s="6"/>
      <c r="F198" s="6"/>
      <c r="G198" s="6"/>
      <c r="H198" s="6"/>
      <c r="I198" s="6"/>
      <c r="J198" s="6"/>
      <c r="K198" s="6"/>
      <c r="L198" s="5" t="s">
        <v>225</v>
      </c>
      <c r="M198" s="6"/>
      <c r="N198" s="6"/>
      <c r="O198" s="4"/>
    </row>
    <row r="199">
      <c r="A199" s="5" t="s">
        <v>824</v>
      </c>
      <c r="B199" s="5" t="s">
        <v>825</v>
      </c>
      <c r="C199" s="5" t="str">
        <f>IFERROR(__xludf.DUMMYFUNCTION("LOWER(TRIM(REGEXREPLACE(B199, ""[[:punct:]]"", """")))"),"automation’s role in sustainable aquaculture practices")</f>
        <v>automation’s role in sustainable aquaculture practices</v>
      </c>
      <c r="D199" s="5" t="s">
        <v>826</v>
      </c>
      <c r="E199" s="6"/>
      <c r="F199" s="6"/>
      <c r="G199" s="6"/>
      <c r="H199" s="6"/>
      <c r="I199" s="5" t="s">
        <v>827</v>
      </c>
      <c r="J199" s="5">
        <v>2026.0</v>
      </c>
      <c r="K199" s="5" t="s">
        <v>209</v>
      </c>
      <c r="L199" s="5" t="s">
        <v>828</v>
      </c>
      <c r="M199" s="6"/>
      <c r="N199" s="6"/>
      <c r="O199" s="4"/>
    </row>
    <row r="200">
      <c r="A200" s="5" t="s">
        <v>829</v>
      </c>
      <c r="B200" s="5" t="s">
        <v>830</v>
      </c>
      <c r="C200" s="5" t="str">
        <f>IFERROR(__xludf.DUMMYFUNCTION("LOWER(TRIM(REGEXREPLACE(B200, ""[[:punct:]]"", """")))"),"omics insights in situ tools shed light on deepsea microbial activities")</f>
        <v>omics insights in situ tools shed light on deepsea microbial activities</v>
      </c>
      <c r="D200" s="5" t="s">
        <v>831</v>
      </c>
      <c r="E200" s="6"/>
      <c r="F200" s="6"/>
      <c r="G200" s="6"/>
      <c r="H200" s="6"/>
      <c r="I200" s="6"/>
      <c r="J200" s="5">
        <v>2026.0</v>
      </c>
      <c r="K200" s="5" t="s">
        <v>832</v>
      </c>
      <c r="L200" s="5" t="s">
        <v>833</v>
      </c>
      <c r="M200" s="6"/>
      <c r="N200" s="6"/>
      <c r="O200" s="4"/>
    </row>
    <row r="201">
      <c r="A201" s="5" t="s">
        <v>834</v>
      </c>
      <c r="B201" s="5" t="s">
        <v>835</v>
      </c>
      <c r="C201" s="5" t="str">
        <f>IFERROR(__xludf.DUMMYFUNCTION("LOWER(TRIM(REGEXREPLACE(B201, ""[[:punct:]]"", """")))"),"a fault diagnosis method for auvs")</f>
        <v>a fault diagnosis method for auvs</v>
      </c>
      <c r="D201" s="5" t="s">
        <v>836</v>
      </c>
      <c r="E201" s="5">
        <v>5.0</v>
      </c>
      <c r="F201" s="6"/>
      <c r="G201" s="6"/>
      <c r="H201" s="6"/>
      <c r="I201" s="5">
        <v>293.0</v>
      </c>
      <c r="J201" s="5">
        <v>2024.0</v>
      </c>
      <c r="K201" s="5" t="s">
        <v>82</v>
      </c>
      <c r="L201" s="5" t="s">
        <v>837</v>
      </c>
      <c r="M201" s="6"/>
      <c r="N201" s="6"/>
      <c r="O201" s="4"/>
    </row>
    <row r="202">
      <c r="A202" s="5" t="s">
        <v>838</v>
      </c>
      <c r="B202" s="5" t="s">
        <v>839</v>
      </c>
      <c r="C202" s="5" t="str">
        <f>IFERROR(__xludf.DUMMYFUNCTION("LOWER(TRIM(REGEXREPLACE(B202, ""[[:punct:]]"", """")))"),"recent developments in empirical dynamic modelling")</f>
        <v>recent developments in empirical dynamic modelling</v>
      </c>
      <c r="D202" s="5" t="s">
        <v>597</v>
      </c>
      <c r="E202" s="5">
        <v>14.0</v>
      </c>
      <c r="F202" s="5"/>
      <c r="G202" s="5"/>
      <c r="H202" s="5">
        <v>3.0</v>
      </c>
      <c r="I202" s="5" t="s">
        <v>840</v>
      </c>
      <c r="J202" s="5">
        <v>2023.0</v>
      </c>
      <c r="K202" s="5" t="s">
        <v>87</v>
      </c>
      <c r="L202" s="5" t="s">
        <v>841</v>
      </c>
      <c r="M202" s="6"/>
      <c r="N202" s="6"/>
      <c r="O202" s="4"/>
    </row>
    <row r="203">
      <c r="A203" s="5" t="s">
        <v>842</v>
      </c>
      <c r="B203" s="5" t="s">
        <v>843</v>
      </c>
      <c r="C203" s="5" t="str">
        <f>IFERROR(__xludf.DUMMYFUNCTION("LOWER(TRIM(REGEXREPLACE(B203, ""[[:punct:]]"", """")))"),"machine learning for optimized ocean exploration data analysis")</f>
        <v>machine learning for optimized ocean exploration data analysis</v>
      </c>
      <c r="D203" s="6"/>
      <c r="E203" s="6"/>
      <c r="F203" s="6"/>
      <c r="G203" s="6"/>
      <c r="H203" s="6"/>
      <c r="I203" s="6"/>
      <c r="J203" s="5">
        <v>2025.0</v>
      </c>
      <c r="K203" s="5" t="s">
        <v>844</v>
      </c>
      <c r="L203" s="5" t="s">
        <v>845</v>
      </c>
      <c r="M203" s="6"/>
      <c r="N203" s="6"/>
      <c r="O203" s="4"/>
    </row>
    <row r="204">
      <c r="A204" s="5" t="s">
        <v>846</v>
      </c>
      <c r="B204" s="5" t="s">
        <v>847</v>
      </c>
      <c r="C204" s="5" t="str">
        <f>IFERROR(__xludf.DUMMYFUNCTION("LOWER(TRIM(REGEXREPLACE(B204, ""[[:punct:]]"", """")))"),"ecosaic a dual ecologicallyinformed deep learning framework for interpretable and validatable habitat mapping")</f>
        <v>ecosaic a dual ecologicallyinformed deep learning framework for interpretable and validatable habitat mapping</v>
      </c>
      <c r="D204" s="6"/>
      <c r="E204" s="6"/>
      <c r="F204" s="6"/>
      <c r="G204" s="6"/>
      <c r="H204" s="6"/>
      <c r="I204" s="6"/>
      <c r="J204" s="5">
        <v>2026.0</v>
      </c>
      <c r="K204" s="6"/>
      <c r="L204" s="5" t="s">
        <v>44</v>
      </c>
      <c r="M204" s="6"/>
      <c r="N204" s="6"/>
      <c r="O204" s="4"/>
    </row>
    <row r="205">
      <c r="A205" s="5" t="s">
        <v>848</v>
      </c>
      <c r="B205" s="5" t="s">
        <v>849</v>
      </c>
      <c r="C205" s="5" t="str">
        <f>IFERROR(__xludf.DUMMYFUNCTION("LOWER(TRIM(REGEXREPLACE(B205, ""[[:punct:]]"", """")))"),"small‐scale spatial distributions of long‐finned pilot whales change over time but foraging hot spots are consistent significance for marine wildlife tourism management")</f>
        <v>small‐scale spatial distributions of long‐finned pilot whales change over time but foraging hot spots are consistent significance for marine wildlife tourism management</v>
      </c>
      <c r="D205" s="5" t="s">
        <v>850</v>
      </c>
      <c r="E205" s="5">
        <v>37.0</v>
      </c>
      <c r="F205" s="5"/>
      <c r="G205" s="5"/>
      <c r="H205" s="5">
        <v>4.0</v>
      </c>
      <c r="I205" s="5" t="s">
        <v>851</v>
      </c>
      <c r="J205" s="5">
        <v>2021.0</v>
      </c>
      <c r="K205" s="5" t="s">
        <v>87</v>
      </c>
      <c r="L205" s="5" t="s">
        <v>852</v>
      </c>
      <c r="M205" s="6"/>
      <c r="N205" s="6"/>
      <c r="O205" s="4"/>
    </row>
    <row r="206">
      <c r="A206" s="5" t="s">
        <v>853</v>
      </c>
      <c r="B206" s="5" t="s">
        <v>854</v>
      </c>
      <c r="C206" s="5" t="str">
        <f>IFERROR(__xludf.DUMMYFUNCTION("LOWER(TRIM(REGEXREPLACE(B206, ""[[:punct:]]"", """")))"),"fryolo fractionalorder feature propagation for object detection in forwardlooking sonar")</f>
        <v>fryolo fractionalorder feature propagation for object detection in forwardlooking sonar</v>
      </c>
      <c r="D206" s="5" t="s">
        <v>217</v>
      </c>
      <c r="E206" s="5">
        <v>14.0</v>
      </c>
      <c r="F206" s="5"/>
      <c r="G206" s="5"/>
      <c r="H206" s="5">
        <v>12.0</v>
      </c>
      <c r="I206" s="5">
        <v>1102.0</v>
      </c>
      <c r="J206" s="5">
        <v>2026.0</v>
      </c>
      <c r="K206" s="5" t="s">
        <v>180</v>
      </c>
      <c r="L206" s="5" t="s">
        <v>855</v>
      </c>
      <c r="M206" s="6"/>
      <c r="N206" s="6"/>
      <c r="O206" s="4"/>
    </row>
    <row r="207">
      <c r="A207" s="5" t="s">
        <v>856</v>
      </c>
      <c r="B207" s="5" t="s">
        <v>857</v>
      </c>
      <c r="C207" s="5" t="str">
        <f>IFERROR(__xludf.DUMMYFUNCTION("LOWER(TRIM(REGEXREPLACE(B207, ""[[:punct:]]"", """")))"),"fractional processes and systems in computer science and engineering")</f>
        <v>fractional processes and systems in computer science and engineering</v>
      </c>
      <c r="D207" s="5" t="s">
        <v>858</v>
      </c>
      <c r="E207" s="5">
        <v>10.0</v>
      </c>
      <c r="F207" s="5"/>
      <c r="G207" s="5"/>
      <c r="H207" s="5">
        <v>3.0</v>
      </c>
      <c r="I207" s="5">
        <v>198.0</v>
      </c>
      <c r="J207" s="5">
        <v>2026.0</v>
      </c>
      <c r="K207" s="5" t="s">
        <v>180</v>
      </c>
      <c r="L207" s="5" t="s">
        <v>859</v>
      </c>
      <c r="M207" s="6"/>
      <c r="N207" s="6"/>
      <c r="O207" s="4"/>
    </row>
    <row r="208">
      <c r="A208" s="5" t="s">
        <v>860</v>
      </c>
      <c r="B208" s="5" t="s">
        <v>861</v>
      </c>
      <c r="C208" s="5" t="str">
        <f>IFERROR(__xludf.DUMMYFUNCTION("LOWER(TRIM(REGEXREPLACE(B208, ""[[:punct:]]"", """")))"),"an enhanced particle swarm optimized rbf model for precise fish population estimation in cage farming")</f>
        <v>an enhanced particle swarm optimized rbf model for precise fish population estimation in cage farming</v>
      </c>
      <c r="D208" s="5" t="s">
        <v>862</v>
      </c>
      <c r="E208" s="5">
        <v>16.0</v>
      </c>
      <c r="F208" s="5"/>
      <c r="G208" s="5"/>
      <c r="H208" s="5">
        <v>13.0</v>
      </c>
      <c r="I208" s="5">
        <v>2057.0</v>
      </c>
      <c r="J208" s="5">
        <v>2026.0</v>
      </c>
      <c r="K208" s="5" t="s">
        <v>180</v>
      </c>
      <c r="L208" s="5" t="s">
        <v>863</v>
      </c>
      <c r="M208" s="6"/>
      <c r="N208" s="6"/>
      <c r="O208" s="4"/>
    </row>
    <row r="209">
      <c r="A209" s="5" t="s">
        <v>864</v>
      </c>
      <c r="B209" s="5" t="s">
        <v>865</v>
      </c>
      <c r="C209" s="5" t="str">
        <f>IFERROR(__xludf.DUMMYFUNCTION("LOWER(TRIM(REGEXREPLACE(B209, ""[[:punct:]]"", """")))"),"a data mining technique to detect remote exploits")</f>
        <v>a data mining technique to detect remote exploits</v>
      </c>
      <c r="D209" s="6"/>
      <c r="E209" s="6"/>
      <c r="F209" s="6"/>
      <c r="G209" s="6"/>
      <c r="H209" s="6"/>
      <c r="I209" s="6"/>
      <c r="J209" s="5">
        <v>2000.0</v>
      </c>
      <c r="K209" s="6"/>
      <c r="L209" s="5" t="s">
        <v>866</v>
      </c>
      <c r="M209" s="6"/>
      <c r="N209" s="6"/>
      <c r="O209" s="4"/>
    </row>
    <row r="210">
      <c r="A210" s="5" t="s">
        <v>867</v>
      </c>
      <c r="B210" s="5" t="s">
        <v>868</v>
      </c>
      <c r="C210" s="5" t="str">
        <f>IFERROR(__xludf.DUMMYFUNCTION("LOWER(TRIM(REGEXREPLACE(B210, ""[[:punct:]]"", """")))"),"lifestyle and dna base composition in polychaetes")</f>
        <v>lifestyle and dna base composition in polychaetes</v>
      </c>
      <c r="D210" s="5" t="s">
        <v>869</v>
      </c>
      <c r="E210" s="6"/>
      <c r="F210" s="6"/>
      <c r="G210" s="6"/>
      <c r="H210" s="6"/>
      <c r="I210" s="6"/>
      <c r="J210" s="5">
        <v>2016.0</v>
      </c>
      <c r="K210" s="6"/>
      <c r="L210" s="5" t="s">
        <v>870</v>
      </c>
      <c r="M210" s="6"/>
      <c r="N210" s="6"/>
      <c r="O210" s="4"/>
    </row>
    <row r="211">
      <c r="A211" s="5" t="s">
        <v>871</v>
      </c>
      <c r="B211" s="5" t="s">
        <v>872</v>
      </c>
      <c r="C211" s="5" t="str">
        <f>IFERROR(__xludf.DUMMYFUNCTION("LOWER(TRIM(REGEXREPLACE(B211, ""[[:punct:]]"", """")))"),"reliability and sustainability of offshore wind turbine support structures in marine environments a comprehensive review of failures monitoring technologies robotics and predictive om")</f>
        <v>reliability and sustainability of offshore wind turbine support structures in marine environments a comprehensive review of failures monitoring technologies robotics and predictive om</v>
      </c>
      <c r="D211" s="5" t="s">
        <v>38</v>
      </c>
      <c r="E211" s="5">
        <v>13.0</v>
      </c>
      <c r="F211" s="6"/>
      <c r="G211" s="6"/>
      <c r="H211" s="6"/>
      <c r="I211" s="5">
        <v>1887598.0</v>
      </c>
      <c r="J211" s="5">
        <v>2026.0</v>
      </c>
      <c r="K211" s="5" t="s">
        <v>39</v>
      </c>
      <c r="L211" s="5" t="s">
        <v>873</v>
      </c>
      <c r="M211" s="6"/>
      <c r="N211" s="6"/>
      <c r="O211" s="4"/>
    </row>
    <row r="212">
      <c r="A212" s="5" t="s">
        <v>874</v>
      </c>
      <c r="B212" s="5" t="s">
        <v>875</v>
      </c>
      <c r="C212" s="5" t="str">
        <f>IFERROR(__xludf.DUMMYFUNCTION("LOWER(TRIM(REGEXREPLACE(B212, ""[[:punct:]]"", """")))"),"imposex en el caracol marino xanthochorus buxea broderip 1833muricidae del pacífico sudamericano")</f>
        <v>imposex en el caracol marino xanthochorus buxea broderip 1833muricidae del pacífico sudamericano</v>
      </c>
      <c r="D212" s="5" t="s">
        <v>876</v>
      </c>
      <c r="E212" s="6"/>
      <c r="F212" s="6"/>
      <c r="G212" s="6"/>
      <c r="H212" s="6"/>
      <c r="I212" s="6"/>
      <c r="J212" s="5">
        <v>2020.0</v>
      </c>
      <c r="K212" s="6"/>
      <c r="L212" s="5" t="s">
        <v>877</v>
      </c>
      <c r="M212" s="6"/>
      <c r="N212" s="6"/>
      <c r="O212" s="4"/>
    </row>
    <row r="213">
      <c r="A213" s="5" t="s">
        <v>878</v>
      </c>
      <c r="B213" s="5" t="s">
        <v>879</v>
      </c>
      <c r="C213" s="5" t="str">
        <f>IFERROR(__xludf.DUMMYFUNCTION("LOWER(TRIM(REGEXREPLACE(B213, ""[[:punct:]]"", """")))"),"highresolution cdom mapping in the bay of bengal using bayesianoptimized ensemble ml and sentinel3 imagery")</f>
        <v>highresolution cdom mapping in the bay of bengal using bayesianoptimized ensemble ml and sentinel3 imagery</v>
      </c>
      <c r="D213" s="5" t="s">
        <v>880</v>
      </c>
      <c r="E213" s="6"/>
      <c r="F213" s="6"/>
      <c r="G213" s="6"/>
      <c r="H213" s="6"/>
      <c r="I213" s="5" t="s">
        <v>881</v>
      </c>
      <c r="J213" s="5">
        <v>2025.0</v>
      </c>
      <c r="K213" s="5" t="s">
        <v>209</v>
      </c>
      <c r="L213" s="5" t="s">
        <v>44</v>
      </c>
      <c r="M213" s="6"/>
      <c r="N213" s="6"/>
      <c r="O213" s="4"/>
    </row>
    <row r="214">
      <c r="A214" s="5" t="s">
        <v>882</v>
      </c>
      <c r="B214" s="5" t="s">
        <v>883</v>
      </c>
      <c r="C214" s="5" t="str">
        <f>IFERROR(__xludf.DUMMYFUNCTION("LOWER(TRIM(REGEXREPLACE(B214, ""[[:punct:]]"", """")))"),"variability in the diet of new zealand sea lion phocarctos hookeri at the auckland islands new zealand")</f>
        <v>variability in the diet of new zealand sea lion phocarctos hookeri at the auckland islands new zealand</v>
      </c>
      <c r="D214" s="5" t="s">
        <v>884</v>
      </c>
      <c r="E214" s="6"/>
      <c r="F214" s="6"/>
      <c r="G214" s="6"/>
      <c r="H214" s="6"/>
      <c r="I214" s="6"/>
      <c r="J214" s="5">
        <v>2009.0</v>
      </c>
      <c r="K214" s="6"/>
      <c r="L214" s="5" t="s">
        <v>885</v>
      </c>
      <c r="M214" s="6"/>
      <c r="N214" s="6"/>
      <c r="O214" s="4"/>
    </row>
    <row r="215">
      <c r="A215" s="5" t="s">
        <v>886</v>
      </c>
      <c r="B215" s="5" t="s">
        <v>559</v>
      </c>
      <c r="C215" s="5" t="str">
        <f>IFERROR(__xludf.DUMMYFUNCTION("LOWER(TRIM(REGEXREPLACE(B215, ""[[:punct:]]"", """")))"),"black sea journal of engineering and science")</f>
        <v>black sea journal of engineering and science</v>
      </c>
      <c r="D215" s="6"/>
      <c r="E215" s="6"/>
      <c r="F215" s="6"/>
      <c r="G215" s="6"/>
      <c r="H215" s="6"/>
      <c r="I215" s="6"/>
      <c r="J215" s="6"/>
      <c r="K215" s="6"/>
      <c r="L215" s="5" t="s">
        <v>44</v>
      </c>
      <c r="M215" s="6"/>
      <c r="N215" s="6"/>
      <c r="O215" s="4"/>
    </row>
    <row r="216">
      <c r="A216" s="5" t="s">
        <v>887</v>
      </c>
      <c r="B216" s="5" t="s">
        <v>888</v>
      </c>
      <c r="C216" s="5" t="str">
        <f>IFERROR(__xludf.DUMMYFUNCTION("LOWER(TRIM(REGEXREPLACE(B216, ""[[:punct:]]"", """")))"),"distribution pattern of coral non coralline fish larvae")</f>
        <v>distribution pattern of coral non coralline fish larvae</v>
      </c>
      <c r="D216" s="6"/>
      <c r="E216" s="6"/>
      <c r="F216" s="6"/>
      <c r="G216" s="6"/>
      <c r="H216" s="6"/>
      <c r="I216" s="6"/>
      <c r="J216" s="5">
        <v>2010.0</v>
      </c>
      <c r="K216" s="6"/>
      <c r="L216" s="5" t="s">
        <v>44</v>
      </c>
      <c r="M216" s="6"/>
      <c r="N216" s="6"/>
      <c r="O216" s="4"/>
    </row>
    <row r="217">
      <c r="A217" s="5" t="s">
        <v>889</v>
      </c>
      <c r="B217" s="5" t="s">
        <v>890</v>
      </c>
      <c r="C217" s="5" t="str">
        <f>IFERROR(__xludf.DUMMYFUNCTION("LOWER(TRIM(REGEXREPLACE(B217, ""[[:punct:]]"", """")))"),"genetic variation of 15 str autosomal loci in the maracaibo population from venezuela")</f>
        <v>genetic variation of 15 str autosomal loci in the maracaibo population from venezuela</v>
      </c>
      <c r="D217" s="5" t="s">
        <v>891</v>
      </c>
      <c r="E217" s="6"/>
      <c r="F217" s="6"/>
      <c r="G217" s="6"/>
      <c r="H217" s="6"/>
      <c r="I217" s="6"/>
      <c r="J217" s="5">
        <v>2006.0</v>
      </c>
      <c r="K217" s="6"/>
      <c r="L217" s="5" t="s">
        <v>892</v>
      </c>
      <c r="M217" s="6"/>
      <c r="N217" s="6"/>
      <c r="O217" s="4"/>
    </row>
    <row r="218">
      <c r="A218" s="5" t="s">
        <v>893</v>
      </c>
      <c r="B218" s="5" t="s">
        <v>894</v>
      </c>
      <c r="C218" s="5" t="str">
        <f>IFERROR(__xludf.DUMMYFUNCTION("LOWER(TRIM(REGEXREPLACE(B218, ""[[:punct:]]"", """")))"),"distribution and habitat preferences of five species of wrasse family labridae in a norwegian fjord")</f>
        <v>distribution and habitat preferences of five species of wrasse family labridae in a norwegian fjord</v>
      </c>
      <c r="D218" s="5" t="s">
        <v>618</v>
      </c>
      <c r="E218" s="6"/>
      <c r="F218" s="6"/>
      <c r="G218" s="6"/>
      <c r="H218" s="6"/>
      <c r="I218" s="6"/>
      <c r="J218" s="5">
        <v>2014.0</v>
      </c>
      <c r="K218" s="6"/>
      <c r="L218" s="5" t="s">
        <v>895</v>
      </c>
      <c r="M218" s="6"/>
      <c r="N218" s="6"/>
      <c r="O218" s="4"/>
    </row>
    <row r="219">
      <c r="A219" s="5" t="s">
        <v>896</v>
      </c>
      <c r="B219" s="5" t="s">
        <v>897</v>
      </c>
      <c r="C219" s="5" t="str">
        <f>IFERROR(__xludf.DUMMYFUNCTION("LOWER(TRIM(REGEXREPLACE(B219, ""[[:punct:]]"", """")))"),"odonata assemblages along an anthropogenic disturbance gradient in ghana’s eastern region")</f>
        <v>odonata assemblages along an anthropogenic disturbance gradient in ghana’s eastern region</v>
      </c>
      <c r="D219" s="5" t="s">
        <v>898</v>
      </c>
      <c r="E219" s="6"/>
      <c r="F219" s="6"/>
      <c r="G219" s="6"/>
      <c r="H219" s="6"/>
      <c r="I219" s="6"/>
      <c r="J219" s="5">
        <v>2018.0</v>
      </c>
      <c r="K219" s="6"/>
      <c r="L219" s="5" t="s">
        <v>899</v>
      </c>
      <c r="M219" s="6"/>
      <c r="N219" s="6"/>
      <c r="O219" s="4"/>
    </row>
    <row r="220">
      <c r="A220" s="5" t="s">
        <v>900</v>
      </c>
      <c r="B220" s="5" t="s">
        <v>901</v>
      </c>
      <c r="C220" s="5" t="str">
        <f>IFERROR(__xludf.DUMMYFUNCTION("LOWER(TRIM(REGEXREPLACE(B220, ""[[:punct:]]"", """")))"),"effects of thermal regime variability on adult rainbow trout oncorhynchus mykiss mortality in afromontane river systems")</f>
        <v>effects of thermal regime variability on adult rainbow trout oncorhynchus mykiss mortality in afromontane river systems</v>
      </c>
      <c r="D220" s="5" t="s">
        <v>902</v>
      </c>
      <c r="E220" s="5">
        <v>198.0</v>
      </c>
      <c r="F220" s="5"/>
      <c r="G220" s="5"/>
      <c r="H220" s="5">
        <v>7.0</v>
      </c>
      <c r="I220" s="5">
        <v>692.0</v>
      </c>
      <c r="J220" s="5">
        <v>2026.0</v>
      </c>
      <c r="K220" s="5" t="s">
        <v>209</v>
      </c>
      <c r="L220" s="5" t="s">
        <v>44</v>
      </c>
      <c r="M220" s="6"/>
      <c r="N220" s="6"/>
      <c r="O220" s="4"/>
    </row>
    <row r="221">
      <c r="A221" s="5" t="s">
        <v>248</v>
      </c>
      <c r="B221" s="5" t="s">
        <v>903</v>
      </c>
      <c r="C221" s="5" t="str">
        <f>IFERROR(__xludf.DUMMYFUNCTION("LOWER(TRIM(REGEXREPLACE(B221, ""[[:punct:]]"", """")))"),"date of acceptance grade instructors teemu roos university of helsinki allan tucker brunel university modelling the baltic sea food web with a dynamic bayesian network with hidden variables")</f>
        <v>date of acceptance grade instructors teemu roos university of helsinki allan tucker brunel university modelling the baltic sea food web with a dynamic bayesian network with hidden variables</v>
      </c>
      <c r="D221" s="6"/>
      <c r="E221" s="6"/>
      <c r="F221" s="6"/>
      <c r="G221" s="6"/>
      <c r="H221" s="6"/>
      <c r="I221" s="6"/>
      <c r="J221" s="6"/>
      <c r="K221" s="6"/>
      <c r="L221" s="5" t="s">
        <v>904</v>
      </c>
      <c r="M221" s="6"/>
      <c r="N221" s="6"/>
      <c r="O221" s="4"/>
    </row>
    <row r="222">
      <c r="A222" s="5" t="s">
        <v>905</v>
      </c>
      <c r="B222" s="5" t="s">
        <v>906</v>
      </c>
      <c r="C222" s="5" t="str">
        <f>IFERROR(__xludf.DUMMYFUNCTION("LOWER(TRIM(REGEXREPLACE(B222, ""[[:punct:]]"", """")))"),"fossil gastropods aclis aenigmaticus n sp on a fish from the pesciara of bolca lagerstätte eocene northern italy an enigmatic association")</f>
        <v>fossil gastropods aclis aenigmaticus n sp on a fish from the pesciara of bolca lagerstätte eocene northern italy an enigmatic association</v>
      </c>
      <c r="D222" s="6"/>
      <c r="E222" s="6"/>
      <c r="F222" s="6"/>
      <c r="G222" s="6"/>
      <c r="H222" s="6"/>
      <c r="I222" s="6"/>
      <c r="J222" s="5">
        <v>2014.0</v>
      </c>
      <c r="K222" s="6"/>
      <c r="L222" s="5" t="s">
        <v>907</v>
      </c>
      <c r="M222" s="6"/>
      <c r="N222" s="6"/>
      <c r="O222" s="4"/>
    </row>
    <row r="223">
      <c r="A223" s="5" t="s">
        <v>908</v>
      </c>
      <c r="B223" s="5" t="s">
        <v>909</v>
      </c>
      <c r="C223" s="5" t="str">
        <f>IFERROR(__xludf.DUMMYFUNCTION("LOWER(TRIM(REGEXREPLACE(B223, ""[[:punct:]]"", """")))"),"wlodarskakowalczyk et al 2013 do foraminifera mirror diversity")</f>
        <v>wlodarskakowalczyk et al 2013 do foraminifera mirror diversity</v>
      </c>
      <c r="D223" s="6"/>
      <c r="E223" s="6"/>
      <c r="F223" s="6"/>
      <c r="G223" s="6"/>
      <c r="H223" s="6"/>
      <c r="I223" s="6"/>
      <c r="J223" s="6"/>
      <c r="K223" s="6"/>
      <c r="L223" s="5" t="s">
        <v>910</v>
      </c>
      <c r="M223" s="6"/>
      <c r="N223" s="6"/>
      <c r="O223" s="4"/>
    </row>
    <row r="224">
      <c r="A224" s="5" t="s">
        <v>911</v>
      </c>
      <c r="B224" s="5" t="s">
        <v>912</v>
      </c>
      <c r="C224" s="5" t="str">
        <f>IFERROR(__xludf.DUMMYFUNCTION("LOWER(TRIM(REGEXREPLACE(B224, ""[[:punct:]]"", """")))"),"a survey of fish behaviour quantification indexes and methods in aquaculture")</f>
        <v>a survey of fish behaviour quantification indexes and methods in aquaculture</v>
      </c>
      <c r="D224" s="5" t="s">
        <v>85</v>
      </c>
      <c r="E224" s="5">
        <v>13.0</v>
      </c>
      <c r="F224" s="5"/>
      <c r="G224" s="5"/>
      <c r="H224" s="5">
        <v>4.0</v>
      </c>
      <c r="I224" s="5" t="s">
        <v>913</v>
      </c>
      <c r="J224" s="5">
        <v>2021.0</v>
      </c>
      <c r="K224" s="5" t="s">
        <v>87</v>
      </c>
      <c r="L224" s="5" t="s">
        <v>914</v>
      </c>
      <c r="M224" s="6"/>
      <c r="N224" s="6"/>
      <c r="O224" s="4"/>
    </row>
    <row r="225">
      <c r="A225" s="5" t="s">
        <v>915</v>
      </c>
      <c r="B225" s="5" t="s">
        <v>916</v>
      </c>
      <c r="C225" s="5" t="str">
        <f>IFERROR(__xludf.DUMMYFUNCTION("LOWER(TRIM(REGEXREPLACE(B225, ""[[:punct:]]"", """")))"),"explainable artificial intelligence for analysing mosquito flight behaviour")</f>
        <v>explainable artificial intelligence for analysing mosquito flight behaviour</v>
      </c>
      <c r="D225" s="6"/>
      <c r="E225" s="6"/>
      <c r="F225" s="6"/>
      <c r="G225" s="6"/>
      <c r="H225" s="6"/>
      <c r="I225" s="6"/>
      <c r="J225" s="5">
        <v>2025.0</v>
      </c>
      <c r="K225" s="5" t="s">
        <v>917</v>
      </c>
      <c r="L225" s="5" t="s">
        <v>918</v>
      </c>
      <c r="M225" s="6"/>
      <c r="N225" s="6"/>
      <c r="O225" s="4"/>
    </row>
    <row r="226">
      <c r="A226" s="5" t="s">
        <v>919</v>
      </c>
      <c r="B226" s="5" t="s">
        <v>920</v>
      </c>
      <c r="C226" s="5" t="str">
        <f>IFERROR(__xludf.DUMMYFUNCTION("LOWER(TRIM(REGEXREPLACE(B226, ""[[:punct:]]"", """")))"),"marine meiofauna diversity and biogeography—paradigms and challenges")</f>
        <v>marine meiofauna diversity and biogeography—paradigms and challenges</v>
      </c>
      <c r="D226" s="5" t="s">
        <v>921</v>
      </c>
      <c r="E226" s="6"/>
      <c r="F226" s="6"/>
      <c r="G226" s="6"/>
      <c r="H226" s="6"/>
      <c r="I226" s="5" t="s">
        <v>922</v>
      </c>
      <c r="J226" s="5">
        <v>2023.0</v>
      </c>
      <c r="K226" s="5" t="s">
        <v>209</v>
      </c>
      <c r="L226" s="5" t="s">
        <v>923</v>
      </c>
      <c r="M226" s="6"/>
      <c r="N226" s="6"/>
      <c r="O226" s="4"/>
    </row>
    <row r="227">
      <c r="A227" s="5" t="s">
        <v>924</v>
      </c>
      <c r="B227" s="5" t="s">
        <v>925</v>
      </c>
      <c r="C227" s="5" t="str">
        <f>IFERROR(__xludf.DUMMYFUNCTION("LOWER(TRIM(REGEXREPLACE(B227, ""[[:punct:]]"", """")))"),"resources and further reading")</f>
        <v>resources and further reading</v>
      </c>
      <c r="D227" s="5" t="s">
        <v>926</v>
      </c>
      <c r="E227" s="6"/>
      <c r="F227" s="6"/>
      <c r="G227" s="6"/>
      <c r="H227" s="6"/>
      <c r="I227" s="5" t="s">
        <v>927</v>
      </c>
      <c r="J227" s="5">
        <v>2025.0</v>
      </c>
      <c r="K227" s="5" t="s">
        <v>209</v>
      </c>
      <c r="L227" s="5" t="s">
        <v>928</v>
      </c>
      <c r="M227" s="6"/>
      <c r="N227" s="6"/>
      <c r="O227" s="4"/>
    </row>
    <row r="228">
      <c r="A228" s="5" t="s">
        <v>929</v>
      </c>
      <c r="B228" s="5" t="s">
        <v>930</v>
      </c>
      <c r="C228" s="5" t="str">
        <f>IFERROR(__xludf.DUMMYFUNCTION("LOWER(TRIM(REGEXREPLACE(B228, ""[[:punct:]]"", """")))"),"morphometric and meristic characters of two cichlids coptodon zillii and oreochromis aureus collected from shatt alarab river basrah iraq")</f>
        <v>morphometric and meristic characters of two cichlids coptodon zillii and oreochromis aureus collected from shatt alarab river basrah iraq</v>
      </c>
      <c r="D228" s="5" t="s">
        <v>931</v>
      </c>
      <c r="E228" s="6"/>
      <c r="F228" s="6"/>
      <c r="G228" s="6"/>
      <c r="H228" s="6"/>
      <c r="I228" s="6"/>
      <c r="J228" s="5">
        <v>2018.0</v>
      </c>
      <c r="K228" s="6"/>
      <c r="L228" s="5" t="s">
        <v>44</v>
      </c>
      <c r="M228" s="6"/>
      <c r="N228" s="6"/>
      <c r="O228" s="4"/>
    </row>
    <row r="229">
      <c r="A229" s="5" t="s">
        <v>932</v>
      </c>
      <c r="B229" s="5" t="s">
        <v>933</v>
      </c>
      <c r="C229" s="5" t="str">
        <f>IFERROR(__xludf.DUMMYFUNCTION("LOWER(TRIM(REGEXREPLACE(B229, ""[[:punct:]]"", """")))"),"enhanced deposition to pits a local food source for benthos")</f>
        <v>enhanced deposition to pits a local food source for benthos</v>
      </c>
      <c r="D229" s="5" t="s">
        <v>934</v>
      </c>
      <c r="E229" s="5">
        <v>51.0</v>
      </c>
      <c r="F229" s="5"/>
      <c r="G229" s="5"/>
      <c r="H229" s="5">
        <v>1.0</v>
      </c>
      <c r="I229" s="5" t="s">
        <v>935</v>
      </c>
      <c r="J229" s="5">
        <v>1993.0</v>
      </c>
      <c r="K229" s="6"/>
      <c r="L229" s="5" t="s">
        <v>936</v>
      </c>
      <c r="M229" s="6"/>
      <c r="N229" s="6"/>
      <c r="O229" s="4"/>
    </row>
    <row r="230">
      <c r="A230" s="5" t="s">
        <v>937</v>
      </c>
      <c r="B230" s="5" t="s">
        <v>938</v>
      </c>
      <c r="C230" s="5" t="str">
        <f>IFERROR(__xludf.DUMMYFUNCTION("LOWER(TRIM(REGEXREPLACE(B230, ""[[:punct:]]"", """")))"),"solidoro et al2007understanding dynamic of biogeochemical properties")</f>
        <v>solidoro et al2007understanding dynamic of biogeochemical properties</v>
      </c>
      <c r="D230" s="6"/>
      <c r="E230" s="6"/>
      <c r="F230" s="6"/>
      <c r="G230" s="6"/>
      <c r="H230" s="6"/>
      <c r="I230" s="6"/>
      <c r="J230" s="6"/>
      <c r="K230" s="6"/>
      <c r="L230" s="5" t="s">
        <v>939</v>
      </c>
      <c r="M230" s="6"/>
      <c r="N230" s="6"/>
      <c r="O230" s="4"/>
    </row>
    <row r="231">
      <c r="A231" s="5" t="s">
        <v>940</v>
      </c>
      <c r="B231" s="5" t="s">
        <v>941</v>
      </c>
      <c r="C231" s="5" t="str">
        <f>IFERROR(__xludf.DUMMYFUNCTION("LOWER(TRIM(REGEXREPLACE(B231, ""[[:punct:]]"", """")))"),"hydrological and environmental drivers of fringe red mangrove rhizophora mangle distribution implications for rehabilitation strategies in a degraded semiarid coastal lagoon")</f>
        <v>hydrological and environmental drivers of fringe red mangrove rhizophora mangle distribution implications for rehabilitation strategies in a degraded semiarid coastal lagoon</v>
      </c>
      <c r="D231" s="5" t="s">
        <v>942</v>
      </c>
      <c r="E231" s="5">
        <v>34.0</v>
      </c>
      <c r="F231" s="5"/>
      <c r="G231" s="5"/>
      <c r="H231" s="5">
        <v>5.0</v>
      </c>
      <c r="I231" s="5">
        <v>82.0</v>
      </c>
      <c r="J231" s="5">
        <v>2026.0</v>
      </c>
      <c r="K231" s="5" t="s">
        <v>209</v>
      </c>
      <c r="L231" s="5" t="s">
        <v>943</v>
      </c>
      <c r="M231" s="6"/>
      <c r="N231" s="6"/>
      <c r="O231" s="4"/>
    </row>
    <row r="232">
      <c r="A232" s="5" t="s">
        <v>944</v>
      </c>
      <c r="B232" s="5" t="s">
        <v>945</v>
      </c>
      <c r="C232" s="5" t="str">
        <f>IFERROR(__xludf.DUMMYFUNCTION("LOWER(TRIM(REGEXREPLACE(B232, ""[[:punct:]]"", """")))"),"ergodicity of the communication management processes")</f>
        <v>ergodicity of the communication management processes</v>
      </c>
      <c r="D232" s="6"/>
      <c r="E232" s="6"/>
      <c r="F232" s="6"/>
      <c r="G232" s="6"/>
      <c r="H232" s="6"/>
      <c r="I232" s="6"/>
      <c r="J232" s="6"/>
      <c r="K232" s="6"/>
      <c r="L232" s="5" t="s">
        <v>946</v>
      </c>
      <c r="M232" s="6"/>
      <c r="N232" s="6"/>
      <c r="O232" s="4"/>
    </row>
    <row r="233">
      <c r="A233" s="5" t="s">
        <v>947</v>
      </c>
      <c r="B233" s="5" t="s">
        <v>948</v>
      </c>
      <c r="C233" s="5" t="str">
        <f>IFERROR(__xludf.DUMMYFUNCTION("LOWER(TRIM(REGEXREPLACE(B233, ""[[:punct:]]"", """")))"),"increases of opportunistic species in response to ecosystem change the case of the baltic sea threespined stickleback")</f>
        <v>increases of opportunistic species in response to ecosystem change the case of the baltic sea threespined stickleback</v>
      </c>
      <c r="D233" s="5" t="s">
        <v>618</v>
      </c>
      <c r="E233" s="6"/>
      <c r="F233" s="6"/>
      <c r="G233" s="6"/>
      <c r="H233" s="6"/>
      <c r="I233" s="6"/>
      <c r="J233" s="6"/>
      <c r="K233" s="6"/>
      <c r="L233" s="5" t="s">
        <v>949</v>
      </c>
      <c r="M233" s="6"/>
      <c r="N233" s="6"/>
      <c r="O233" s="4"/>
    </row>
    <row r="234">
      <c r="A234" s="5" t="s">
        <v>950</v>
      </c>
      <c r="B234" s="5" t="s">
        <v>951</v>
      </c>
      <c r="C234" s="5" t="str">
        <f>IFERROR(__xludf.DUMMYFUNCTION("LOWER(TRIM(REGEXREPLACE(B234, ""[[:punct:]]"", """")))"),"application of seasonal autoregressive moving average models to analysis and forecasting of time series monthly rainfall patterns in embu county kenya")</f>
        <v>application of seasonal autoregressive moving average models to analysis and forecasting of time series monthly rainfall patterns in embu county kenya</v>
      </c>
      <c r="D234" s="5" t="s">
        <v>952</v>
      </c>
      <c r="E234" s="6"/>
      <c r="F234" s="6"/>
      <c r="G234" s="6"/>
      <c r="H234" s="6"/>
      <c r="I234" s="6"/>
      <c r="J234" s="5">
        <v>2019.0</v>
      </c>
      <c r="K234" s="6"/>
      <c r="L234" s="5" t="s">
        <v>953</v>
      </c>
      <c r="M234" s="6"/>
      <c r="N234" s="6"/>
      <c r="O234" s="4"/>
    </row>
    <row r="235">
      <c r="A235" s="5" t="s">
        <v>954</v>
      </c>
      <c r="B235" s="5" t="s">
        <v>955</v>
      </c>
      <c r="C235" s="5" t="str">
        <f>IFERROR(__xludf.DUMMYFUNCTION("LOWER(TRIM(REGEXREPLACE(B235, ""[[:punct:]]"", """")))"),"acoustic individual identification of the common guillemot uria aalge")</f>
        <v>acoustic individual identification of the common guillemot uria aalge</v>
      </c>
      <c r="D235" s="5" t="s">
        <v>956</v>
      </c>
      <c r="E235" s="6"/>
      <c r="F235" s="6"/>
      <c r="G235" s="6"/>
      <c r="H235" s="6"/>
      <c r="I235" s="6"/>
      <c r="J235" s="5">
        <v>2026.0</v>
      </c>
      <c r="K235" s="6"/>
      <c r="L235" s="5" t="s">
        <v>44</v>
      </c>
      <c r="M235" s="6"/>
      <c r="N235" s="6"/>
      <c r="O235" s="4"/>
    </row>
    <row r="236">
      <c r="A236" s="5" t="s">
        <v>957</v>
      </c>
      <c r="B236" s="5" t="s">
        <v>958</v>
      </c>
      <c r="C236" s="5" t="str">
        <f>IFERROR(__xludf.DUMMYFUNCTION("LOWER(TRIM(REGEXREPLACE(B236, ""[[:punct:]]"", """")))"),"converting copepod vital rates into units appropriate for biogeochemical models")</f>
        <v>converting copepod vital rates into units appropriate for biogeochemical models</v>
      </c>
      <c r="D236" s="5" t="s">
        <v>691</v>
      </c>
      <c r="E236" s="6"/>
      <c r="F236" s="6"/>
      <c r="G236" s="6"/>
      <c r="H236" s="6"/>
      <c r="I236" s="6"/>
      <c r="J236" s="5">
        <v>2010.0</v>
      </c>
      <c r="K236" s="6"/>
      <c r="L236" s="5" t="s">
        <v>44</v>
      </c>
      <c r="M236" s="6"/>
      <c r="N236" s="6"/>
      <c r="O236" s="4"/>
    </row>
    <row r="237">
      <c r="A237" s="5" t="s">
        <v>959</v>
      </c>
      <c r="B237" s="5" t="s">
        <v>960</v>
      </c>
      <c r="C237" s="5" t="str">
        <f>IFERROR(__xludf.DUMMYFUNCTION("LOWER(TRIM(REGEXREPLACE(B237, ""[[:punct:]]"", """")))"),"the intrinsic predictability of ecological time series and its potential to guide forecasting")</f>
        <v>the intrinsic predictability of ecological time series and its potential to guide forecasting</v>
      </c>
      <c r="D237" s="6"/>
      <c r="E237" s="6"/>
      <c r="F237" s="6"/>
      <c r="G237" s="6"/>
      <c r="H237" s="6"/>
      <c r="I237" s="6"/>
      <c r="J237" s="6"/>
      <c r="K237" s="6"/>
      <c r="L237" s="5" t="s">
        <v>961</v>
      </c>
      <c r="M237" s="6"/>
      <c r="N237" s="6"/>
      <c r="O237" s="4"/>
    </row>
    <row r="238">
      <c r="A238" s="5" t="s">
        <v>962</v>
      </c>
      <c r="B238" s="5" t="s">
        <v>963</v>
      </c>
      <c r="C238" s="5" t="str">
        <f>IFERROR(__xludf.DUMMYFUNCTION("LOWER(TRIM(REGEXREPLACE(B238, ""[[:punct:]]"", """")))"),"unlocking causal relationships in commercial banking risk management an examination of explainable ai integration with multifactor risk models")</f>
        <v>unlocking causal relationships in commercial banking risk management an examination of explainable ai integration with multifactor risk models</v>
      </c>
      <c r="D238" s="5" t="s">
        <v>964</v>
      </c>
      <c r="E238" s="5">
        <v>12.0</v>
      </c>
      <c r="F238" s="5"/>
      <c r="G238" s="5"/>
      <c r="H238" s="5">
        <v>3.0</v>
      </c>
      <c r="I238" s="5" t="s">
        <v>965</v>
      </c>
      <c r="J238" s="5">
        <v>2023.0</v>
      </c>
      <c r="K238" s="6"/>
      <c r="L238" s="5" t="s">
        <v>966</v>
      </c>
      <c r="M238" s="6"/>
      <c r="N238" s="6"/>
      <c r="O238" s="4"/>
    </row>
    <row r="239">
      <c r="A239" s="5" t="s">
        <v>967</v>
      </c>
      <c r="B239" s="5" t="s">
        <v>968</v>
      </c>
      <c r="C239" s="5" t="str">
        <f>IFERROR(__xludf.DUMMYFUNCTION("LOWER(TRIM(REGEXREPLACE(B239, ""[[:punct:]]"", """")))"),"figure 3 from ramírez jm vázquezbader ar gracia a 2019 ichthyofaunal list of the continental slope of the southern gulf of mexico zookeys 846 117132 httpsdoi org103897zookeys 84631944")</f>
        <v>figure 3 from ramírez jm vázquezbader ar gracia a 2019 ichthyofaunal list of the continental slope of the southern gulf of mexico zookeys 846 117132 httpsdoi org103897zookeys 84631944</v>
      </c>
      <c r="D239" s="6"/>
      <c r="E239" s="6"/>
      <c r="F239" s="6"/>
      <c r="G239" s="6"/>
      <c r="H239" s="6"/>
      <c r="I239" s="6"/>
      <c r="J239" s="6"/>
      <c r="K239" s="6"/>
      <c r="L239" s="5" t="s">
        <v>969</v>
      </c>
      <c r="M239" s="6"/>
      <c r="N239" s="6"/>
      <c r="O239" s="4"/>
    </row>
    <row r="240">
      <c r="A240" s="5" t="s">
        <v>970</v>
      </c>
      <c r="B240" s="5" t="s">
        <v>971</v>
      </c>
      <c r="C240" s="5" t="str">
        <f>IFERROR(__xludf.DUMMYFUNCTION("LOWER(TRIM(REGEXREPLACE(B240, ""[[:punct:]]"", """")))"),"heritage history–the swedish way")</f>
        <v>heritage history–the swedish way</v>
      </c>
      <c r="D240" s="6"/>
      <c r="E240" s="6"/>
      <c r="F240" s="6"/>
      <c r="G240" s="6"/>
      <c r="H240" s="6"/>
      <c r="I240" s="6"/>
      <c r="J240" s="5">
        <v>2013.0</v>
      </c>
      <c r="K240" s="6"/>
      <c r="L240" s="5" t="s">
        <v>297</v>
      </c>
      <c r="M240" s="6"/>
      <c r="N240" s="6"/>
      <c r="O240" s="4"/>
    </row>
    <row r="241">
      <c r="A241" s="5" t="s">
        <v>972</v>
      </c>
      <c r="B241" s="5" t="s">
        <v>973</v>
      </c>
      <c r="C241" s="5" t="str">
        <f>IFERROR(__xludf.DUMMYFUNCTION("LOWER(TRIM(REGEXREPLACE(B241, ""[[:punct:]]"", """")))"),"from bycatch to litter a systematic map of the ecological impacts of fishing in european seas")</f>
        <v>from bycatch to litter a systematic map of the ecological impacts of fishing in european seas</v>
      </c>
      <c r="D241" s="5" t="s">
        <v>974</v>
      </c>
      <c r="E241" s="5">
        <v>36.0</v>
      </c>
      <c r="F241" s="5"/>
      <c r="G241" s="5"/>
      <c r="H241" s="5">
        <v>1.0</v>
      </c>
      <c r="I241" s="5">
        <v>9.0</v>
      </c>
      <c r="J241" s="5">
        <v>2026.0</v>
      </c>
      <c r="K241" s="5" t="s">
        <v>209</v>
      </c>
      <c r="L241" s="5" t="s">
        <v>44</v>
      </c>
      <c r="M241" s="6"/>
      <c r="N241" s="6"/>
      <c r="O241" s="4"/>
    </row>
    <row r="242">
      <c r="A242" s="5" t="s">
        <v>975</v>
      </c>
      <c r="B242" s="5" t="s">
        <v>976</v>
      </c>
      <c r="C242" s="5" t="str">
        <f>IFERROR(__xludf.DUMMYFUNCTION("LOWER(TRIM(REGEXREPLACE(B242, ""[[:punct:]]"", """")))"),"thomas seifert1 and martin heimann1 3 1biogeochemical systems department max planck institute for biogeochemistry jena germany 2geomar helmholtz centre for ocean research kiel germany 3institute for atmospheric and earth system research inarphysics univer"&amp;"sity of helsinki helsinki finland anow at scripps institution of oceanography university of california san diego la jolla ca usa")</f>
        <v>thomas seifert1 and martin heimann1 3 1biogeochemical systems department max planck institute for biogeochemistry jena germany 2geomar helmholtz centre for ocean research kiel germany 3institute for atmospheric and earth system research inarphysics university of helsinki helsinki finland anow at scripps institution of oceanography university of california san diego la jolla ca usa</v>
      </c>
      <c r="D242" s="5" t="s">
        <v>259</v>
      </c>
      <c r="E242" s="5">
        <v>16.0</v>
      </c>
      <c r="F242" s="6"/>
      <c r="G242" s="6"/>
      <c r="H242" s="6"/>
      <c r="I242" s="5" t="s">
        <v>260</v>
      </c>
      <c r="J242" s="5">
        <v>2019.0</v>
      </c>
      <c r="K242" s="6"/>
      <c r="L242" s="5" t="s">
        <v>44</v>
      </c>
      <c r="M242" s="6"/>
      <c r="N242" s="6"/>
      <c r="O242" s="4"/>
    </row>
    <row r="243">
      <c r="A243" s="5" t="s">
        <v>977</v>
      </c>
      <c r="B243" s="5" t="s">
        <v>978</v>
      </c>
      <c r="C243" s="5" t="str">
        <f>IFERROR(__xludf.DUMMYFUNCTION("LOWER(TRIM(REGEXREPLACE(B243, ""[[:punct:]]"", """")))"),"distribution and habitat characteristics of dolphins of the genus stenella cetacea delphinidae in the southwest atlantic ocean")</f>
        <v>distribution and habitat characteristics of dolphins of the genus stenella cetacea delphinidae in the southwest atlantic ocean</v>
      </c>
      <c r="D243" s="6"/>
      <c r="E243" s="6"/>
      <c r="F243" s="6"/>
      <c r="G243" s="6"/>
      <c r="H243" s="6"/>
      <c r="I243" s="6"/>
      <c r="J243" s="5">
        <v>2005.0</v>
      </c>
      <c r="K243" s="6"/>
      <c r="L243" s="5" t="s">
        <v>979</v>
      </c>
      <c r="M243" s="6"/>
      <c r="N243" s="6"/>
      <c r="O243" s="4"/>
    </row>
    <row r="244">
      <c r="A244" s="5" t="s">
        <v>980</v>
      </c>
      <c r="B244" s="5" t="s">
        <v>981</v>
      </c>
      <c r="C244" s="5" t="str">
        <f>IFERROR(__xludf.DUMMYFUNCTION("LOWER(TRIM(REGEXREPLACE(B244, ""[[:punct:]]"", """")))"),"forest burned area detection with time series data based on stacked convlstm")</f>
        <v>forest burned area detection with time series data based on stacked convlstm</v>
      </c>
      <c r="D244" s="5" t="s">
        <v>982</v>
      </c>
      <c r="E244" s="5">
        <v>26.0</v>
      </c>
      <c r="F244" s="5"/>
      <c r="G244" s="5"/>
      <c r="H244" s="5">
        <v>10.0</v>
      </c>
      <c r="I244" s="5" t="s">
        <v>983</v>
      </c>
      <c r="J244" s="5">
        <v>2022.0</v>
      </c>
      <c r="K244" s="5" t="s">
        <v>982</v>
      </c>
      <c r="L244" s="5" t="s">
        <v>984</v>
      </c>
      <c r="M244" s="6"/>
      <c r="N244" s="6"/>
      <c r="O244" s="4"/>
    </row>
    <row r="245">
      <c r="A245" s="5" t="s">
        <v>985</v>
      </c>
      <c r="B245" s="5" t="s">
        <v>986</v>
      </c>
      <c r="C245" s="5" t="str">
        <f>IFERROR(__xludf.DUMMYFUNCTION("LOWER(TRIM(REGEXREPLACE(B245, ""[[:punct:]]"", """")))"),"empowering home security through wall crossing activity detection using vision cameras and convolutional long shortterm architecture")</f>
        <v>empowering home security through wall crossing activity detection using vision cameras and convolutional long shortterm architecture</v>
      </c>
      <c r="D245" s="5" t="s">
        <v>987</v>
      </c>
      <c r="E245" s="6"/>
      <c r="F245" s="6"/>
      <c r="G245" s="6"/>
      <c r="H245" s="6"/>
      <c r="I245" s="6"/>
      <c r="J245" s="5">
        <v>2025.0</v>
      </c>
      <c r="K245" s="6"/>
      <c r="L245" s="5" t="s">
        <v>988</v>
      </c>
      <c r="M245" s="6"/>
      <c r="N245" s="6"/>
      <c r="O245" s="4"/>
    </row>
    <row r="246">
      <c r="A246" s="5" t="s">
        <v>989</v>
      </c>
      <c r="B246" s="5" t="s">
        <v>990</v>
      </c>
      <c r="C246" s="5" t="str">
        <f>IFERROR(__xludf.DUMMYFUNCTION("LOWER(TRIM(REGEXREPLACE(B246, ""[[:punct:]]"", """")))"),"modeling coastal water clarity using landsat‐8 and sentinel‐2")</f>
        <v>modeling coastal water clarity using landsat‐8 and sentinel‐2</v>
      </c>
      <c r="D246" s="5" t="s">
        <v>991</v>
      </c>
      <c r="E246" s="5">
        <v>10.0</v>
      </c>
      <c r="F246" s="5"/>
      <c r="G246" s="5"/>
      <c r="H246" s="5">
        <v>7.0</v>
      </c>
      <c r="I246" s="5" t="s">
        <v>992</v>
      </c>
      <c r="J246" s="5">
        <v>2023.0</v>
      </c>
      <c r="K246" s="5" t="s">
        <v>87</v>
      </c>
      <c r="L246" s="5" t="s">
        <v>993</v>
      </c>
      <c r="M246" s="6"/>
      <c r="N246" s="6"/>
      <c r="O246" s="4"/>
    </row>
    <row r="247">
      <c r="A247" s="5" t="s">
        <v>994</v>
      </c>
      <c r="B247" s="5" t="s">
        <v>995</v>
      </c>
      <c r="C247" s="5" t="str">
        <f>IFERROR(__xludf.DUMMYFUNCTION("LOWER(TRIM(REGEXREPLACE(B247, ""[[:punct:]]"", """")))"),"longitudinal patterns of fish assemblages in european boreal streams")</f>
        <v>longitudinal patterns of fish assemblages in european boreal streams</v>
      </c>
      <c r="D247" s="5" t="s">
        <v>996</v>
      </c>
      <c r="E247" s="5">
        <v>847.0</v>
      </c>
      <c r="F247" s="5"/>
      <c r="G247" s="5"/>
      <c r="H247" s="5">
        <v>15.0</v>
      </c>
      <c r="I247" s="5" t="s">
        <v>997</v>
      </c>
      <c r="J247" s="5">
        <v>2020.0</v>
      </c>
      <c r="K247" s="5" t="s">
        <v>209</v>
      </c>
      <c r="L247" s="5" t="s">
        <v>746</v>
      </c>
      <c r="M247" s="6"/>
      <c r="N247" s="6"/>
      <c r="O247" s="4"/>
    </row>
    <row r="248">
      <c r="A248" s="5" t="s">
        <v>998</v>
      </c>
      <c r="B248" s="5" t="s">
        <v>999</v>
      </c>
      <c r="C248" s="5" t="str">
        <f>IFERROR(__xludf.DUMMYFUNCTION("LOWER(TRIM(REGEXREPLACE(B248, ""[[:punct:]]"", """")))"),"risk assessment of radionuclides in different environmental matrices in the state of qatar arabian gulf")</f>
        <v>risk assessment of radionuclides in different environmental matrices in the state of qatar arabian gulf</v>
      </c>
      <c r="D248" s="5" t="s">
        <v>1000</v>
      </c>
      <c r="E248" s="5">
        <v>48.0</v>
      </c>
      <c r="F248" s="5"/>
      <c r="G248" s="5"/>
      <c r="H248" s="5">
        <v>14.0</v>
      </c>
      <c r="I248" s="5">
        <v>582.0</v>
      </c>
      <c r="J248" s="5">
        <v>2026.0</v>
      </c>
      <c r="K248" s="5" t="s">
        <v>209</v>
      </c>
      <c r="L248" s="5" t="s">
        <v>1001</v>
      </c>
      <c r="M248" s="6"/>
      <c r="N248" s="6"/>
      <c r="O248" s="4"/>
    </row>
    <row r="249">
      <c r="A249" s="5" t="s">
        <v>1002</v>
      </c>
      <c r="B249" s="5" t="s">
        <v>1003</v>
      </c>
      <c r="C249" s="5" t="str">
        <f>IFERROR(__xludf.DUMMYFUNCTION("LOWER(TRIM(REGEXREPLACE(B249, ""[[:punct:]]"", """")))"),"phagocytosis underpins the biotrophic lifestyle of intracellular parasites in the class phytomyxea rhizaria")</f>
        <v>phagocytosis underpins the biotrophic lifestyle of intracellular parasites in the class phytomyxea rhizaria</v>
      </c>
      <c r="D249" s="5" t="s">
        <v>1004</v>
      </c>
      <c r="E249" s="6"/>
      <c r="F249" s="6"/>
      <c r="G249" s="6"/>
      <c r="H249" s="6"/>
      <c r="I249" s="6"/>
      <c r="J249" s="5">
        <v>2022.0</v>
      </c>
      <c r="K249" s="6"/>
      <c r="L249" s="5" t="s">
        <v>1005</v>
      </c>
      <c r="M249" s="6"/>
      <c r="N249" s="6"/>
      <c r="O249" s="4"/>
    </row>
    <row r="250">
      <c r="A250" s="5" t="s">
        <v>1006</v>
      </c>
      <c r="B250" s="5" t="s">
        <v>1007</v>
      </c>
      <c r="C250" s="5" t="str">
        <f>IFERROR(__xludf.DUMMYFUNCTION("LOWER(TRIM(REGEXREPLACE(B250, ""[[:punct:]]"", """")))"),"isis the state of terror by jessica stern and jm berger review by houssem ben lazreg")</f>
        <v>isis the state of terror by jessica stern and jm berger review by houssem ben lazreg</v>
      </c>
      <c r="D250" s="6"/>
      <c r="E250" s="6"/>
      <c r="F250" s="6"/>
      <c r="G250" s="6"/>
      <c r="H250" s="6"/>
      <c r="I250" s="6"/>
      <c r="J250" s="5">
        <v>2016.0</v>
      </c>
      <c r="K250" s="6"/>
      <c r="L250" s="5" t="s">
        <v>297</v>
      </c>
      <c r="M250" s="6"/>
      <c r="N250" s="6"/>
      <c r="O250" s="4"/>
    </row>
    <row r="251">
      <c r="A251" s="5" t="s">
        <v>1008</v>
      </c>
      <c r="B251" s="5" t="s">
        <v>1009</v>
      </c>
      <c r="C251" s="5" t="str">
        <f>IFERROR(__xludf.DUMMYFUNCTION("LOWER(TRIM(REGEXREPLACE(B251, ""[[:punct:]]"", """")))"),"moluscos da formação romualdo aptianoalbiano bacia do araripe nordeste do brasil")</f>
        <v>moluscos da formação romualdo aptianoalbiano bacia do araripe nordeste do brasil</v>
      </c>
      <c r="D251" s="5" t="s">
        <v>1010</v>
      </c>
      <c r="E251" s="6"/>
      <c r="F251" s="6"/>
      <c r="G251" s="6"/>
      <c r="H251" s="6"/>
      <c r="I251" s="6"/>
      <c r="J251" s="5">
        <v>2021.0</v>
      </c>
      <c r="K251" s="6"/>
      <c r="L251" s="5" t="s">
        <v>1011</v>
      </c>
      <c r="M251" s="6"/>
      <c r="N251" s="6"/>
      <c r="O251" s="4"/>
    </row>
    <row r="252">
      <c r="A252" s="5" t="s">
        <v>1012</v>
      </c>
      <c r="B252" s="5" t="s">
        <v>1013</v>
      </c>
      <c r="C252" s="5" t="str">
        <f>IFERROR(__xludf.DUMMYFUNCTION("LOWER(TRIM(REGEXREPLACE(B252, ""[[:punct:]]"", """")))"),"a decade of dissolved sulphur compounds measurements in the southwestern baltic sea")</f>
        <v>a decade of dissolved sulphur compounds measurements in the southwestern baltic sea</v>
      </c>
      <c r="D252" s="6"/>
      <c r="E252" s="6"/>
      <c r="F252" s="6"/>
      <c r="G252" s="6"/>
      <c r="H252" s="6"/>
      <c r="I252" s="6"/>
      <c r="J252" s="6"/>
      <c r="K252" s="6"/>
      <c r="L252" s="5" t="s">
        <v>1014</v>
      </c>
      <c r="M252" s="6"/>
      <c r="N252" s="6"/>
      <c r="O252" s="4"/>
    </row>
    <row r="253">
      <c r="A253" s="5" t="s">
        <v>1015</v>
      </c>
      <c r="B253" s="5" t="s">
        <v>1016</v>
      </c>
      <c r="C253" s="5" t="str">
        <f>IFERROR(__xludf.DUMMYFUNCTION("LOWER(TRIM(REGEXREPLACE(B253, ""[[:punct:]]"", """")))"),"penerapan metode apriori untuk identifikasi pola data transaksi pada customer di supermarket")</f>
        <v>penerapan metode apriori untuk identifikasi pola data transaksi pada customer di supermarket</v>
      </c>
      <c r="D253" s="6"/>
      <c r="E253" s="6"/>
      <c r="F253" s="6"/>
      <c r="G253" s="6"/>
      <c r="H253" s="6"/>
      <c r="I253" s="6"/>
      <c r="J253" s="6"/>
      <c r="K253" s="6"/>
      <c r="L253" s="5" t="s">
        <v>1017</v>
      </c>
      <c r="M253" s="6"/>
      <c r="N253" s="6"/>
      <c r="O253" s="4"/>
    </row>
    <row r="254">
      <c r="A254" s="5" t="s">
        <v>1018</v>
      </c>
      <c r="B254" s="5" t="s">
        <v>1019</v>
      </c>
      <c r="C254" s="5" t="str">
        <f>IFERROR(__xludf.DUMMYFUNCTION("LOWER(TRIM(REGEXREPLACE(B254, ""[[:punct:]]"", """")))"),"cyanobacteria species dominance and diversity in three australian drinking water reservoirs")</f>
        <v>cyanobacteria species dominance and diversity in three australian drinking water reservoirs</v>
      </c>
      <c r="D254" s="5" t="s">
        <v>996</v>
      </c>
      <c r="E254" s="5">
        <v>849.0</v>
      </c>
      <c r="F254" s="5"/>
      <c r="G254" s="5"/>
      <c r="H254" s="5">
        <v>6.0</v>
      </c>
      <c r="I254" s="5" t="s">
        <v>1020</v>
      </c>
      <c r="J254" s="5">
        <v>2022.0</v>
      </c>
      <c r="K254" s="5" t="s">
        <v>209</v>
      </c>
      <c r="L254" s="5" t="s">
        <v>1021</v>
      </c>
      <c r="M254" s="6"/>
      <c r="N254" s="6"/>
      <c r="O254" s="4"/>
    </row>
    <row r="255">
      <c r="A255" s="5" t="s">
        <v>1022</v>
      </c>
      <c r="B255" s="5" t="s">
        <v>1023</v>
      </c>
      <c r="C255" s="5" t="str">
        <f>IFERROR(__xludf.DUMMYFUNCTION("LOWER(TRIM(REGEXREPLACE(B255, ""[[:punct:]]"", """")))"),"a global systematic review of land subsidence drivers technologies and future directions from monitoring to intelligence")</f>
        <v>a global systematic review of land subsidence drivers technologies and future directions from monitoring to intelligence</v>
      </c>
      <c r="D255" s="5" t="s">
        <v>1024</v>
      </c>
      <c r="E255" s="5">
        <v>4.0</v>
      </c>
      <c r="F255" s="5"/>
      <c r="G255" s="5"/>
      <c r="H255" s="5">
        <v>1.0</v>
      </c>
      <c r="I255" s="5">
        <v>239.0</v>
      </c>
      <c r="J255" s="5">
        <v>2026.0</v>
      </c>
      <c r="K255" s="5" t="s">
        <v>209</v>
      </c>
      <c r="L255" s="5" t="s">
        <v>297</v>
      </c>
      <c r="M255" s="6"/>
      <c r="N255" s="6"/>
      <c r="O255" s="4"/>
    </row>
    <row r="256">
      <c r="A256" s="5" t="s">
        <v>1025</v>
      </c>
      <c r="B256" s="5" t="s">
        <v>1026</v>
      </c>
      <c r="C256" s="5" t="str">
        <f>IFERROR(__xludf.DUMMYFUNCTION("LOWER(TRIM(REGEXREPLACE(B256, ""[[:punct:]]"", """")))"),"video based deep cnn model for depression detection")</f>
        <v>video based deep cnn model for depression detection</v>
      </c>
      <c r="D256" s="5" t="s">
        <v>1027</v>
      </c>
      <c r="E256" s="6"/>
      <c r="F256" s="6"/>
      <c r="G256" s="6"/>
      <c r="H256" s="6"/>
      <c r="I256" s="6"/>
      <c r="J256" s="5">
        <v>2022.0</v>
      </c>
      <c r="K256" s="6"/>
      <c r="L256" s="5" t="s">
        <v>1028</v>
      </c>
      <c r="M256" s="5"/>
      <c r="N256" s="6"/>
      <c r="O256" s="4"/>
    </row>
    <row r="257">
      <c r="A257" s="5" t="s">
        <v>1029</v>
      </c>
      <c r="B257" s="5" t="s">
        <v>1030</v>
      </c>
      <c r="C257" s="5" t="str">
        <f>IFERROR(__xludf.DUMMYFUNCTION("LOWER(TRIM(REGEXREPLACE(B257, ""[[:punct:]]"", """")))"),"seabird morphology determines operational wind speeds tolerable maxima and responses to extremes")</f>
        <v>seabird morphology determines operational wind speeds tolerable maxima and responses to extremes</v>
      </c>
      <c r="D257" s="6"/>
      <c r="E257" s="6"/>
      <c r="F257" s="6"/>
      <c r="G257" s="6"/>
      <c r="H257" s="6"/>
      <c r="I257" s="6"/>
      <c r="J257" s="6"/>
      <c r="K257" s="6"/>
      <c r="L257" s="5" t="s">
        <v>1031</v>
      </c>
      <c r="M257" s="6"/>
      <c r="N257" s="6"/>
      <c r="O257" s="4"/>
    </row>
    <row r="258">
      <c r="A258" s="5" t="s">
        <v>1032</v>
      </c>
      <c r="B258" s="5" t="s">
        <v>1033</v>
      </c>
      <c r="C258" s="5" t="str">
        <f>IFERROR(__xludf.DUMMYFUNCTION("LOWER(TRIM(REGEXREPLACE(B258, ""[[:punct:]]"", """")))"),"responses of a top and a meso predator and their prey to moon phases")</f>
        <v>responses of a top and a meso predator and their prey to moon phases</v>
      </c>
      <c r="D258" s="6"/>
      <c r="E258" s="6"/>
      <c r="F258" s="6"/>
      <c r="G258" s="6"/>
      <c r="H258" s="6"/>
      <c r="I258" s="6"/>
      <c r="J258" s="6"/>
      <c r="K258" s="6"/>
      <c r="L258" s="5" t="s">
        <v>44</v>
      </c>
      <c r="M258" s="6"/>
      <c r="N258" s="6"/>
      <c r="O258" s="4"/>
    </row>
    <row r="259">
      <c r="A259" s="5" t="s">
        <v>1034</v>
      </c>
      <c r="B259" s="5" t="s">
        <v>1035</v>
      </c>
      <c r="C259" s="5" t="str">
        <f>IFERROR(__xludf.DUMMYFUNCTION("LOWER(TRIM(REGEXREPLACE(B259, ""[[:punct:]]"", """")))"),"the bert2 infrastructure an integrated system for the study of humanrobot interaction")</f>
        <v>the bert2 infrastructure an integrated system for the study of humanrobot interaction</v>
      </c>
      <c r="D259" s="5" t="s">
        <v>1036</v>
      </c>
      <c r="E259" s="6"/>
      <c r="F259" s="6"/>
      <c r="G259" s="6"/>
      <c r="H259" s="6"/>
      <c r="I259" s="6"/>
      <c r="J259" s="5">
        <v>2010.0</v>
      </c>
      <c r="K259" s="6"/>
      <c r="L259" s="5" t="s">
        <v>297</v>
      </c>
      <c r="M259" s="6"/>
      <c r="N259" s="6"/>
      <c r="O259" s="4"/>
    </row>
    <row r="260">
      <c r="A260" s="5" t="s">
        <v>1037</v>
      </c>
      <c r="B260" s="5" t="s">
        <v>1038</v>
      </c>
      <c r="C260" s="5" t="str">
        <f>IFERROR(__xludf.DUMMYFUNCTION("LOWER(TRIM(REGEXREPLACE(B260, ""[[:punct:]]"", """")))"),"projecting ocean acidification impacts for the gulf of maine to 2050")</f>
        <v>projecting ocean acidification impacts for the gulf of maine to 2050</v>
      </c>
      <c r="D260" s="5" t="s">
        <v>1039</v>
      </c>
      <c r="E260" s="6"/>
      <c r="F260" s="6"/>
      <c r="G260" s="6"/>
      <c r="H260" s="6"/>
      <c r="I260" s="6"/>
      <c r="J260" s="5">
        <v>2021.0</v>
      </c>
      <c r="K260" s="6"/>
      <c r="L260" s="5" t="s">
        <v>1040</v>
      </c>
      <c r="M260" s="6"/>
      <c r="N260" s="6"/>
      <c r="O260" s="4"/>
    </row>
    <row r="261">
      <c r="A261" s="5" t="s">
        <v>1041</v>
      </c>
      <c r="B261" s="5" t="s">
        <v>1042</v>
      </c>
      <c r="C261" s="5" t="str">
        <f>IFERROR(__xludf.DUMMYFUNCTION("LOWER(TRIM(REGEXREPLACE(B261, ""[[:punct:]]"", """")))"),"detecting defects in sequential inputs to digital twins using machine learning")</f>
        <v>detecting defects in sequential inputs to digital twins using machine learning</v>
      </c>
      <c r="D261" s="5" t="s">
        <v>1043</v>
      </c>
      <c r="E261" s="5">
        <v>2.0</v>
      </c>
      <c r="F261" s="6"/>
      <c r="G261" s="6"/>
      <c r="H261" s="6"/>
      <c r="I261" s="5" t="s">
        <v>1044</v>
      </c>
      <c r="J261" s="5">
        <v>2024.0</v>
      </c>
      <c r="K261" s="5" t="s">
        <v>16</v>
      </c>
      <c r="L261" s="5" t="s">
        <v>1045</v>
      </c>
      <c r="M261" s="6"/>
      <c r="N261" s="6"/>
      <c r="O261" s="4"/>
    </row>
    <row r="262">
      <c r="A262" s="5" t="s">
        <v>1046</v>
      </c>
      <c r="B262" s="5" t="s">
        <v>1047</v>
      </c>
      <c r="C262" s="5" t="str">
        <f>IFERROR(__xludf.DUMMYFUNCTION("LOWER(TRIM(REGEXREPLACE(B262, ""[[:punct:]]"", """")))"),"efficient edge ai inference a literature review")</f>
        <v>efficient edge ai inference a literature review</v>
      </c>
      <c r="D262" s="5" t="s">
        <v>1048</v>
      </c>
      <c r="E262" s="6"/>
      <c r="F262" s="6"/>
      <c r="G262" s="6"/>
      <c r="H262" s="6"/>
      <c r="I262" s="6"/>
      <c r="J262" s="5">
        <v>2026.0</v>
      </c>
      <c r="K262" s="6"/>
      <c r="L262" s="5" t="s">
        <v>297</v>
      </c>
      <c r="M262" s="6"/>
      <c r="N262" s="6"/>
      <c r="O262" s="4"/>
    </row>
    <row r="263">
      <c r="A263" s="5" t="s">
        <v>1049</v>
      </c>
      <c r="B263" s="5" t="s">
        <v>1050</v>
      </c>
      <c r="C263" s="5" t="str">
        <f>IFERROR(__xludf.DUMMYFUNCTION("LOWER(TRIM(REGEXREPLACE(B263, ""[[:punct:]]"", """")))"),"not just a sandy beach the multiservice value of mediterranean coastal dunes")</f>
        <v>not just a sandy beach the multiservice value of mediterranean coastal dunes</v>
      </c>
      <c r="D263" s="6"/>
      <c r="E263" s="6"/>
      <c r="F263" s="6"/>
      <c r="G263" s="6"/>
      <c r="H263" s="6"/>
      <c r="I263" s="6"/>
      <c r="J263" s="5">
        <v>2019.0</v>
      </c>
      <c r="K263" s="6"/>
      <c r="L263" s="5" t="s">
        <v>44</v>
      </c>
      <c r="M263" s="6"/>
      <c r="N263" s="6"/>
      <c r="O263" s="4"/>
    </row>
    <row r="264">
      <c r="A264" s="5" t="s">
        <v>1051</v>
      </c>
      <c r="B264" s="5" t="s">
        <v>1052</v>
      </c>
      <c r="C264" s="5" t="str">
        <f>IFERROR(__xludf.DUMMYFUNCTION("LOWER(TRIM(REGEXREPLACE(B264, ""[[:punct:]]"", """")))"),"organic matter composition of the continental shelf and bathyal sediments of the cretan sea ne mediterranean")</f>
        <v>organic matter composition of the continental shelf and bathyal sediments of the cretan sea ne mediterranean</v>
      </c>
      <c r="D264" s="5" t="s">
        <v>691</v>
      </c>
      <c r="E264" s="6"/>
      <c r="F264" s="6"/>
      <c r="G264" s="6"/>
      <c r="H264" s="6"/>
      <c r="I264" s="6"/>
      <c r="J264" s="5">
        <v>2000.0</v>
      </c>
      <c r="K264" s="6"/>
      <c r="L264" s="5" t="s">
        <v>44</v>
      </c>
      <c r="M264" s="6"/>
      <c r="N264" s="6"/>
      <c r="O264" s="4"/>
    </row>
    <row r="265">
      <c r="A265" s="5" t="s">
        <v>1053</v>
      </c>
      <c r="B265" s="5" t="s">
        <v>1054</v>
      </c>
      <c r="C265" s="5" t="str">
        <f>IFERROR(__xludf.DUMMYFUNCTION("LOWER(TRIM(REGEXREPLACE(B265, ""[[:punct:]]"", """")))"),"screening for chemical compliance in water quality monitoring with in vitro bioassays")</f>
        <v>screening for chemical compliance in water quality monitoring with in vitro bioassays</v>
      </c>
      <c r="D265" s="5" t="s">
        <v>1055</v>
      </c>
      <c r="E265" s="6"/>
      <c r="F265" s="6"/>
      <c r="G265" s="6"/>
      <c r="H265" s="6"/>
      <c r="I265" s="6"/>
      <c r="J265" s="6"/>
      <c r="K265" s="5" t="s">
        <v>1056</v>
      </c>
      <c r="L265" s="5" t="s">
        <v>44</v>
      </c>
      <c r="M265" s="6"/>
      <c r="N265" s="6"/>
      <c r="O265" s="4"/>
    </row>
    <row r="266">
      <c r="A266" s="8" t="s">
        <v>1057</v>
      </c>
      <c r="B266" s="8" t="s">
        <v>1058</v>
      </c>
      <c r="C266" s="5" t="str">
        <f>IFERROR(__xludf.DUMMYFUNCTION("LOWER(TRIM(REGEXREPLACE(B266, ""[[:punct:]]"", """")))"),"بررسی وجود چشمه‌های زیردریایی با به کارگیری تصاویر ماهواره‌ای و مطالعات بیلان آب، مطالعه موردی تاقدیس نمککنگان منطقه خلیج فارس")</f>
        <v>بررسی وجود چشمه‌های زیردریایی با به کارگیری تصاویر ماهواره‌ای و مطالعات بیلان آب، مطالعه موردی تاقدیس نمککنگان منطقه خلیج فارس</v>
      </c>
      <c r="D266" s="8" t="s">
        <v>1059</v>
      </c>
      <c r="E266" s="5">
        <v>15.0</v>
      </c>
      <c r="F266" s="5"/>
      <c r="G266" s="5"/>
      <c r="H266" s="5">
        <v>2.0</v>
      </c>
      <c r="I266" s="5" t="s">
        <v>1060</v>
      </c>
      <c r="J266" s="5">
        <v>2025.0</v>
      </c>
      <c r="K266" s="8" t="s">
        <v>1061</v>
      </c>
      <c r="L266" s="5" t="s">
        <v>434</v>
      </c>
      <c r="M266" s="6"/>
      <c r="N266" s="6"/>
      <c r="O266" s="4"/>
    </row>
    <row r="267">
      <c r="A267" s="5" t="s">
        <v>1062</v>
      </c>
      <c r="B267" s="5" t="s">
        <v>1063</v>
      </c>
      <c r="C267" s="5" t="str">
        <f>IFERROR(__xludf.DUMMYFUNCTION("LOWER(TRIM(REGEXREPLACE(B267, ""[[:punct:]]"", """")))"),"healthadvisor recommendation system for wearable technologies enabling proactive health monitoring")</f>
        <v>healthadvisor recommendation system for wearable technologies enabling proactive health monitoring</v>
      </c>
      <c r="D267" s="6"/>
      <c r="E267" s="6"/>
      <c r="F267" s="6"/>
      <c r="G267" s="6"/>
      <c r="H267" s="6"/>
      <c r="I267" s="6"/>
      <c r="J267" s="5">
        <v>2016.0</v>
      </c>
      <c r="K267" s="6"/>
      <c r="L267" s="5" t="s">
        <v>297</v>
      </c>
      <c r="M267" s="6"/>
      <c r="N267" s="6"/>
      <c r="O267" s="4"/>
    </row>
    <row r="268">
      <c r="A268" s="5" t="s">
        <v>1064</v>
      </c>
      <c r="B268" s="5" t="s">
        <v>1065</v>
      </c>
      <c r="C268" s="5" t="str">
        <f>IFERROR(__xludf.DUMMYFUNCTION("LOWER(TRIM(REGEXREPLACE(B268, ""[[:punct:]]"", """")))"),"event impact analysis for time series tests measures and models dissertation zur erlangung des grades eines doktors der naturwissenschaften")</f>
        <v>event impact analysis for time series tests measures and models dissertation zur erlangung des grades eines doktors der naturwissenschaften</v>
      </c>
      <c r="D268" s="5" t="s">
        <v>1066</v>
      </c>
      <c r="E268" s="5">
        <v>14.0</v>
      </c>
      <c r="F268" s="5"/>
      <c r="G268" s="5"/>
      <c r="H268" s="5">
        <v>3.0</v>
      </c>
      <c r="I268" s="5" t="s">
        <v>1067</v>
      </c>
      <c r="J268" s="5">
        <v>2020.0</v>
      </c>
      <c r="K268" s="6"/>
      <c r="L268" s="5" t="s">
        <v>297</v>
      </c>
      <c r="M268" s="6"/>
      <c r="N268" s="6"/>
      <c r="O268" s="4"/>
    </row>
    <row r="269">
      <c r="A269" s="5" t="s">
        <v>1068</v>
      </c>
      <c r="B269" s="5" t="s">
        <v>1069</v>
      </c>
      <c r="C269" s="5" t="str">
        <f>IFERROR(__xludf.DUMMYFUNCTION("LOWER(TRIM(REGEXREPLACE(B269, ""[[:punct:]]"", """")))"),"assessment and modeling the influence of nitrogen input in the soil on groundwater nitrate pollution plain of uppercheliff")</f>
        <v>assessment and modeling the influence of nitrogen input in the soil on groundwater nitrate pollution plain of uppercheliff</v>
      </c>
      <c r="D269" s="5" t="s">
        <v>1070</v>
      </c>
      <c r="E269" s="6"/>
      <c r="F269" s="6"/>
      <c r="G269" s="6"/>
      <c r="H269" s="6"/>
      <c r="I269" s="6"/>
      <c r="J269" s="5">
        <v>2015.0</v>
      </c>
      <c r="K269" s="6"/>
      <c r="L269" s="5" t="s">
        <v>1071</v>
      </c>
      <c r="M269" s="6"/>
      <c r="N269" s="6"/>
      <c r="O269" s="4"/>
    </row>
    <row r="270">
      <c r="A270" s="5" t="s">
        <v>1072</v>
      </c>
      <c r="B270" s="5" t="s">
        <v>1073</v>
      </c>
      <c r="C270" s="5" t="str">
        <f>IFERROR(__xludf.DUMMYFUNCTION("LOWER(TRIM(REGEXREPLACE(B270, ""[[:punct:]]"", """")))"),"paiva pc berlandi rm brasil acs phylum annelida class polychaeta in tâmega fts spotornooliveira p figueiredo mao org catalogue of the benthic marine life from peregrino oil field campos basin brazil 1eded rio de janeiro instituto biodiversidade marinha")</f>
        <v>paiva pc berlandi rm brasil acs phylum annelida class polychaeta in tâmega fts spotornooliveira p figueiredo mao org catalogue of the benthic marine life from peregrino oil field campos basin brazil 1eded rio de janeiro instituto biodiversidade marinha</v>
      </c>
      <c r="D270" s="6"/>
      <c r="E270" s="6"/>
      <c r="F270" s="6"/>
      <c r="G270" s="6"/>
      <c r="H270" s="6"/>
      <c r="I270" s="6"/>
      <c r="J270" s="6"/>
      <c r="K270" s="6"/>
      <c r="L270" s="5" t="s">
        <v>1074</v>
      </c>
      <c r="M270" s="6"/>
      <c r="N270" s="6"/>
      <c r="O270" s="4"/>
    </row>
    <row r="271">
      <c r="A271" s="5" t="s">
        <v>1075</v>
      </c>
      <c r="B271" s="5" t="s">
        <v>1076</v>
      </c>
      <c r="C271" s="5" t="str">
        <f>IFERROR(__xludf.DUMMYFUNCTION("LOWER(TRIM(REGEXREPLACE(B271, ""[[:punct:]]"", """")))"),"spatiallyinformed machine learning for augmented subsurface characterization modeling and interpretation")</f>
        <v>spatiallyinformed machine learning for augmented subsurface characterization modeling and interpretation</v>
      </c>
      <c r="D271" s="6"/>
      <c r="E271" s="6"/>
      <c r="F271" s="6"/>
      <c r="G271" s="6"/>
      <c r="H271" s="6"/>
      <c r="I271" s="6"/>
      <c r="J271" s="5">
        <v>2023.0</v>
      </c>
      <c r="K271" s="5" t="s">
        <v>1077</v>
      </c>
      <c r="L271" s="5" t="s">
        <v>1078</v>
      </c>
      <c r="M271" s="6"/>
      <c r="N271" s="6"/>
      <c r="O271" s="4"/>
    </row>
    <row r="272">
      <c r="A272" s="5" t="s">
        <v>1079</v>
      </c>
      <c r="B272" s="5" t="s">
        <v>1080</v>
      </c>
      <c r="C272" s="5" t="str">
        <f>IFERROR(__xludf.DUMMYFUNCTION("LOWER(TRIM(REGEXREPLACE(B272, ""[[:punct:]]"", """")))"),"the implications of artificial intelligence ai on cybersecurity a detailed review for multidomain industry")</f>
        <v>the implications of artificial intelligence ai on cybersecurity a detailed review for multidomain industry</v>
      </c>
      <c r="D272" s="5" t="s">
        <v>1081</v>
      </c>
      <c r="E272" s="6"/>
      <c r="F272" s="6"/>
      <c r="G272" s="6"/>
      <c r="H272" s="6"/>
      <c r="I272" s="6"/>
      <c r="J272" s="5">
        <v>2024.0</v>
      </c>
      <c r="K272" s="6"/>
      <c r="L272" s="5" t="s">
        <v>297</v>
      </c>
      <c r="M272" s="6"/>
      <c r="N272" s="6"/>
      <c r="O272" s="4"/>
    </row>
    <row r="273">
      <c r="A273" s="5" t="s">
        <v>1082</v>
      </c>
      <c r="B273" s="5" t="s">
        <v>1083</v>
      </c>
      <c r="C273" s="5" t="str">
        <f>IFERROR(__xludf.DUMMYFUNCTION("LOWER(TRIM(REGEXREPLACE(B273, ""[[:punct:]]"", """")))"),"alkalinity inorganic carbon and co2 flux variability during extreme rainfall years 20102011 in two polluted tropical estuaries ne brazil")</f>
        <v>alkalinity inorganic carbon and co2 flux variability during extreme rainfall years 20102011 in two polluted tropical estuaries ne brazil</v>
      </c>
      <c r="D273" s="5" t="s">
        <v>1084</v>
      </c>
      <c r="E273" s="6"/>
      <c r="F273" s="6"/>
      <c r="G273" s="6"/>
      <c r="H273" s="6"/>
      <c r="I273" s="6"/>
      <c r="J273" s="6"/>
      <c r="K273" s="6"/>
      <c r="L273" s="5" t="s">
        <v>1085</v>
      </c>
      <c r="M273" s="6"/>
      <c r="N273" s="6"/>
      <c r="O273" s="4"/>
    </row>
    <row r="274">
      <c r="A274" s="5" t="s">
        <v>1086</v>
      </c>
      <c r="B274" s="5" t="s">
        <v>1087</v>
      </c>
      <c r="C274" s="5" t="str">
        <f>IFERROR(__xludf.DUMMYFUNCTION("LOWER(TRIM(REGEXREPLACE(B274, ""[[:punct:]]"", """")))"),"morphometric characteristic of seagrass thalassia hemprichii in the waters of barrang lompo island and kodingareng lompo island")</f>
        <v>morphometric characteristic of seagrass thalassia hemprichii in the waters of barrang lompo island and kodingareng lompo island</v>
      </c>
      <c r="D274" s="5" t="s">
        <v>1088</v>
      </c>
      <c r="E274" s="5">
        <v>7.0</v>
      </c>
      <c r="F274" s="5"/>
      <c r="G274" s="5"/>
      <c r="H274" s="5">
        <v>1.0</v>
      </c>
      <c r="I274" s="5" t="s">
        <v>1089</v>
      </c>
      <c r="J274" s="5">
        <v>2023.0</v>
      </c>
      <c r="K274" s="5" t="s">
        <v>478</v>
      </c>
      <c r="L274" s="5" t="s">
        <v>1090</v>
      </c>
      <c r="M274" s="6"/>
      <c r="N274" s="6"/>
      <c r="O274" s="4"/>
    </row>
    <row r="275">
      <c r="A275" s="5" t="s">
        <v>1091</v>
      </c>
      <c r="B275" s="5" t="s">
        <v>1092</v>
      </c>
      <c r="C275" s="5" t="str">
        <f>IFERROR(__xludf.DUMMYFUNCTION("LOWER(TRIM(REGEXREPLACE(B275, ""[[:punct:]]"", """")))"),"relevance and methods of training multipurpose health workers in delivery of basic mental health care")</f>
        <v>relevance and methods of training multipurpose health workers in delivery of basic mental health care</v>
      </c>
      <c r="D275" s="5" t="s">
        <v>1093</v>
      </c>
      <c r="E275" s="6"/>
      <c r="F275" s="6"/>
      <c r="G275" s="6"/>
      <c r="H275" s="6"/>
      <c r="I275" s="6"/>
      <c r="J275" s="5">
        <v>1987.0</v>
      </c>
      <c r="K275" s="6"/>
      <c r="L275" s="5" t="s">
        <v>297</v>
      </c>
      <c r="M275" s="6"/>
      <c r="N275" s="6"/>
      <c r="O275" s="4"/>
    </row>
    <row r="276">
      <c r="A276" s="5" t="s">
        <v>1094</v>
      </c>
      <c r="B276" s="5" t="s">
        <v>1095</v>
      </c>
      <c r="C276" s="5" t="str">
        <f>IFERROR(__xludf.DUMMYFUNCTION("LOWER(TRIM(REGEXREPLACE(B276, ""[[:punct:]]"", """")))"),"investigating magmatic and hydrothermal processes at east pacific rise 9 degrees 50 minutes n")</f>
        <v>investigating magmatic and hydrothermal processes at east pacific rise 9 degrees 50 minutes n</v>
      </c>
      <c r="D276" s="6"/>
      <c r="E276" s="6"/>
      <c r="F276" s="6"/>
      <c r="G276" s="6"/>
      <c r="H276" s="6"/>
      <c r="I276" s="6"/>
      <c r="J276" s="5">
        <v>2024.0</v>
      </c>
      <c r="K276" s="5" t="s">
        <v>1096</v>
      </c>
      <c r="L276" s="5" t="s">
        <v>44</v>
      </c>
      <c r="M276" s="6"/>
      <c r="N276" s="6"/>
      <c r="O276" s="4"/>
    </row>
    <row r="277">
      <c r="A277" s="5" t="s">
        <v>1097</v>
      </c>
      <c r="B277" s="5" t="s">
        <v>1098</v>
      </c>
      <c r="C277" s="5" t="str">
        <f>IFERROR(__xludf.DUMMYFUNCTION("LOWER(TRIM(REGEXREPLACE(B277, ""[[:punct:]]"", """")))"),"intercom–sociedade brasileira de estudos interdisciplinares da comunicação")</f>
        <v>intercom–sociedade brasileira de estudos interdisciplinares da comunicação</v>
      </c>
      <c r="D277" s="6"/>
      <c r="E277" s="6"/>
      <c r="F277" s="6"/>
      <c r="G277" s="6"/>
      <c r="H277" s="6"/>
      <c r="I277" s="6"/>
      <c r="J277" s="6"/>
      <c r="K277" s="6"/>
      <c r="L277" s="5" t="s">
        <v>1099</v>
      </c>
      <c r="M277" s="6"/>
      <c r="N277" s="6"/>
      <c r="O277" s="4"/>
    </row>
    <row r="278">
      <c r="A278" s="5" t="s">
        <v>1100</v>
      </c>
      <c r="B278" s="5" t="s">
        <v>1101</v>
      </c>
      <c r="C278" s="5" t="str">
        <f>IFERROR(__xludf.DUMMYFUNCTION("LOWER(TRIM(REGEXREPLACE(B278, ""[[:punct:]]"", """")))"),"effect of different light spectra on the growth productivity and composition of microalgae")</f>
        <v>effect of different light spectra on the growth productivity and composition of microalgae</v>
      </c>
      <c r="D278" s="6"/>
      <c r="E278" s="6"/>
      <c r="F278" s="6"/>
      <c r="G278" s="6"/>
      <c r="H278" s="6"/>
      <c r="I278" s="6"/>
      <c r="J278" s="5">
        <v>2013.0</v>
      </c>
      <c r="K278" s="6"/>
      <c r="L278" s="5" t="s">
        <v>44</v>
      </c>
      <c r="M278" s="6"/>
      <c r="N278" s="6"/>
      <c r="O278" s="4"/>
    </row>
    <row r="279">
      <c r="A279" s="5" t="s">
        <v>1102</v>
      </c>
      <c r="B279" s="5" t="s">
        <v>1103</v>
      </c>
      <c r="C279" s="5" t="str">
        <f>IFERROR(__xludf.DUMMYFUNCTION("LOWER(TRIM(REGEXREPLACE(B279, ""[[:punct:]]"", """")))"),"escamas de tubarões pisces chondrichthyes da formação pirabas eomioceno pará brasil shark scales pisces chondrichthyes of pirabas formation eomiocen pará brazil")</f>
        <v>escamas de tubarões pisces chondrichthyes da formação pirabas eomioceno pará brasil shark scales pisces chondrichthyes of pirabas formation eomiocen pará brazil</v>
      </c>
      <c r="D279" s="6"/>
      <c r="E279" s="6"/>
      <c r="F279" s="6"/>
      <c r="G279" s="6"/>
      <c r="H279" s="6"/>
      <c r="I279" s="6"/>
      <c r="J279" s="6"/>
      <c r="K279" s="6"/>
      <c r="L279" s="5" t="s">
        <v>434</v>
      </c>
      <c r="M279" s="6"/>
      <c r="N279" s="6"/>
      <c r="O279" s="4"/>
    </row>
    <row r="280">
      <c r="A280" s="5" t="s">
        <v>1104</v>
      </c>
      <c r="B280" s="5" t="s">
        <v>1105</v>
      </c>
      <c r="C280" s="5" t="str">
        <f>IFERROR(__xludf.DUMMYFUNCTION("LOWER(TRIM(REGEXREPLACE(B280, ""[[:punct:]]"", """")))"),"couples and roles issues of african women")</f>
        <v>couples and roles issues of african women</v>
      </c>
      <c r="D280" s="6"/>
      <c r="E280" s="6"/>
      <c r="F280" s="6"/>
      <c r="G280" s="6"/>
      <c r="H280" s="6"/>
      <c r="I280" s="6"/>
      <c r="J280" s="5">
        <v>2015.0</v>
      </c>
      <c r="K280" s="6"/>
      <c r="L280" s="5" t="s">
        <v>297</v>
      </c>
      <c r="M280" s="6"/>
      <c r="N280" s="6"/>
      <c r="O280" s="4"/>
    </row>
    <row r="281">
      <c r="A281" s="5" t="s">
        <v>1106</v>
      </c>
      <c r="B281" s="5" t="s">
        <v>1107</v>
      </c>
      <c r="C281" s="5" t="str">
        <f>IFERROR(__xludf.DUMMYFUNCTION("LOWER(TRIM(REGEXREPLACE(B281, ""[[:punct:]]"", """")))"),"a dft study on the electronic and redox properties of x 8 v 14 o 50 nx si iv ge iv pv and as v")</f>
        <v>a dft study on the electronic and redox properties of x 8 v 14 o 50 nx si iv ge iv pv and as v</v>
      </c>
      <c r="D281" s="5" t="s">
        <v>1108</v>
      </c>
      <c r="E281" s="6"/>
      <c r="F281" s="6"/>
      <c r="G281" s="6"/>
      <c r="H281" s="6"/>
      <c r="I281" s="6"/>
      <c r="J281" s="5">
        <v>2010.0</v>
      </c>
      <c r="K281" s="6"/>
      <c r="L281" s="5" t="s">
        <v>297</v>
      </c>
      <c r="M281" s="6"/>
      <c r="N281" s="6"/>
      <c r="O281" s="4"/>
    </row>
    <row r="282">
      <c r="A282" s="5" t="s">
        <v>1109</v>
      </c>
      <c r="B282" s="5" t="s">
        <v>1110</v>
      </c>
      <c r="C282" s="5" t="str">
        <f>IFERROR(__xludf.DUMMYFUNCTION("LOWER(TRIM(REGEXREPLACE(B282, ""[[:punct:]]"", """")))"),"improving the healthcare system through health technology assessment a case study of nepal")</f>
        <v>improving the healthcare system through health technology assessment a case study of nepal</v>
      </c>
      <c r="D282" s="5" t="s">
        <v>1111</v>
      </c>
      <c r="E282" s="6"/>
      <c r="F282" s="6"/>
      <c r="G282" s="6"/>
      <c r="H282" s="6"/>
      <c r="I282" s="6"/>
      <c r="J282" s="5">
        <v>2025.0</v>
      </c>
      <c r="K282" s="6"/>
      <c r="L282" s="5" t="s">
        <v>1112</v>
      </c>
      <c r="M282" s="6"/>
      <c r="N282" s="6"/>
      <c r="O282" s="4"/>
    </row>
    <row r="283">
      <c r="A283" s="5" t="s">
        <v>1113</v>
      </c>
      <c r="B283" s="5" t="s">
        <v>1114</v>
      </c>
      <c r="C283" s="5" t="str">
        <f>IFERROR(__xludf.DUMMYFUNCTION("LOWER(TRIM(REGEXREPLACE(B283, ""[[:punct:]]"", """")))"),"conrad martens the picturesque precursor to australian impressionism")</f>
        <v>conrad martens the picturesque precursor to australian impressionism</v>
      </c>
      <c r="D283" s="6"/>
      <c r="E283" s="6"/>
      <c r="F283" s="6"/>
      <c r="G283" s="6"/>
      <c r="H283" s="6"/>
      <c r="I283" s="6"/>
      <c r="J283" s="5">
        <v>1993.0</v>
      </c>
      <c r="K283" s="6"/>
      <c r="L283" s="5" t="s">
        <v>1115</v>
      </c>
      <c r="M283" s="6"/>
      <c r="N283" s="6"/>
      <c r="O283" s="4"/>
    </row>
    <row r="284">
      <c r="A284" s="5" t="s">
        <v>1116</v>
      </c>
      <c r="B284" s="5" t="s">
        <v>1117</v>
      </c>
      <c r="C284" s="5" t="str">
        <f>IFERROR(__xludf.DUMMYFUNCTION("LOWER(TRIM(REGEXREPLACE(B284, ""[[:punct:]]"", """")))"),"a multiethnic perception through the eyes of students")</f>
        <v>a multiethnic perception through the eyes of students</v>
      </c>
      <c r="D284" s="5" t="s">
        <v>1118</v>
      </c>
      <c r="E284" s="6"/>
      <c r="F284" s="6"/>
      <c r="G284" s="6"/>
      <c r="H284" s="6"/>
      <c r="I284" s="6"/>
      <c r="J284" s="5">
        <v>2014.0</v>
      </c>
      <c r="K284" s="6"/>
      <c r="L284" s="5" t="s">
        <v>1119</v>
      </c>
      <c r="M284" s="6"/>
      <c r="N284" s="6"/>
      <c r="O284" s="4"/>
    </row>
    <row r="285">
      <c r="A285" s="5" t="s">
        <v>1120</v>
      </c>
      <c r="B285" s="5" t="s">
        <v>1121</v>
      </c>
      <c r="C285" s="5" t="str">
        <f>IFERROR(__xludf.DUMMYFUNCTION("LOWER(TRIM(REGEXREPLACE(B285, ""[[:punct:]]"", """")))"),"a novel fdtd application featuring openmpmpi hybrid parallelization")</f>
        <v>a novel fdtd application featuring openmpmpi hybrid parallelization</v>
      </c>
      <c r="D285" s="5" t="s">
        <v>1122</v>
      </c>
      <c r="E285" s="6"/>
      <c r="F285" s="6"/>
      <c r="G285" s="6"/>
      <c r="H285" s="6"/>
      <c r="I285" s="6"/>
      <c r="J285" s="5">
        <v>2004.0</v>
      </c>
      <c r="K285" s="6"/>
      <c r="L285" s="5" t="s">
        <v>1123</v>
      </c>
      <c r="M285" s="6"/>
      <c r="N285" s="6"/>
      <c r="O285" s="4"/>
    </row>
    <row r="286">
      <c r="A286" s="5" t="s">
        <v>1124</v>
      </c>
      <c r="B286" s="5" t="s">
        <v>1125</v>
      </c>
      <c r="C286" s="5" t="str">
        <f>IFERROR(__xludf.DUMMYFUNCTION("LOWER(TRIM(REGEXREPLACE(B286, ""[[:punct:]]"", """")))"),"vii mathematical contributions to the theory of evolution—iii regression heredity and panmixia")</f>
        <v>vii mathematical contributions to the theory of evolution—iii regression heredity and panmixia</v>
      </c>
      <c r="D286" s="5" t="s">
        <v>1126</v>
      </c>
      <c r="E286" s="6"/>
      <c r="F286" s="5"/>
      <c r="G286" s="5"/>
      <c r="H286" s="5">
        <v>187.0</v>
      </c>
      <c r="I286" s="5" t="s">
        <v>1127</v>
      </c>
      <c r="J286" s="5">
        <v>1896.0</v>
      </c>
      <c r="K286" s="5" t="s">
        <v>1128</v>
      </c>
      <c r="L286" s="5" t="s">
        <v>1129</v>
      </c>
      <c r="M286" s="6"/>
      <c r="N286" s="6"/>
      <c r="O286" s="4"/>
    </row>
    <row r="287">
      <c r="A287" s="5" t="s">
        <v>1130</v>
      </c>
      <c r="B287" s="5" t="s">
        <v>1131</v>
      </c>
      <c r="C287" s="5" t="str">
        <f>IFERROR(__xludf.DUMMYFUNCTION("LOWER(TRIM(REGEXREPLACE(B287, ""[[:punct:]]"", """")))"),"the adventures of the cvm in bulgaria and romania")</f>
        <v>the adventures of the cvm in bulgaria and romania</v>
      </c>
      <c r="D287" s="6"/>
      <c r="E287" s="6"/>
      <c r="F287" s="6"/>
      <c r="G287" s="6"/>
      <c r="H287" s="6"/>
      <c r="I287" s="6"/>
      <c r="J287" s="5">
        <v>2016.0</v>
      </c>
      <c r="K287" s="6"/>
      <c r="L287" s="5" t="s">
        <v>1132</v>
      </c>
      <c r="M287" s="6"/>
      <c r="N287" s="6"/>
      <c r="O287" s="4"/>
    </row>
    <row r="288">
      <c r="A288" s="5" t="s">
        <v>1133</v>
      </c>
      <c r="B288" s="5" t="s">
        <v>1134</v>
      </c>
      <c r="C288" s="5" t="str">
        <f>IFERROR(__xludf.DUMMYFUNCTION("LOWER(TRIM(REGEXREPLACE(B288, ""[[:punct:]]"", """")))"),"from mirrors to freespace optical communication—historical aspects in data transmission")</f>
        <v>from mirrors to freespace optical communication—historical aspects in data transmission</v>
      </c>
      <c r="D288" s="5" t="s">
        <v>482</v>
      </c>
      <c r="E288" s="6"/>
      <c r="F288" s="6"/>
      <c r="G288" s="6"/>
      <c r="H288" s="6"/>
      <c r="I288" s="6"/>
      <c r="J288" s="6"/>
      <c r="K288" s="6"/>
      <c r="L288" s="5" t="s">
        <v>1135</v>
      </c>
      <c r="M288" s="6"/>
      <c r="N288" s="6"/>
      <c r="O288" s="4"/>
    </row>
    <row r="289">
      <c r="A289" s="5" t="s">
        <v>1136</v>
      </c>
      <c r="B289" s="5" t="s">
        <v>1137</v>
      </c>
      <c r="C289" s="5" t="str">
        <f>IFERROR(__xludf.DUMMYFUNCTION("LOWER(TRIM(REGEXREPLACE(B289, ""[[:punct:]]"", """")))"),"walking in my shoes imagined synchrony improves attitudes towards outgroups")</f>
        <v>walking in my shoes imagined synchrony improves attitudes towards outgroups</v>
      </c>
      <c r="D289" s="5" t="s">
        <v>1138</v>
      </c>
      <c r="E289" s="6"/>
      <c r="F289" s="6"/>
      <c r="G289" s="6"/>
      <c r="H289" s="6"/>
      <c r="I289" s="6"/>
      <c r="J289" s="6"/>
      <c r="K289" s="6"/>
      <c r="L289" s="5" t="s">
        <v>1139</v>
      </c>
      <c r="M289" s="6"/>
      <c r="N289" s="6"/>
      <c r="O289" s="4"/>
    </row>
    <row r="290">
      <c r="A290" s="5" t="s">
        <v>1140</v>
      </c>
      <c r="B290" s="5" t="s">
        <v>1141</v>
      </c>
      <c r="C290" s="5" t="str">
        <f>IFERROR(__xludf.DUMMYFUNCTION("LOWER(TRIM(REGEXREPLACE(B290, ""[[:punct:]]"", """")))"),"is densitydependent growth in youngoftheyear fishes a question of critical weight")</f>
        <v>is densitydependent growth in youngoftheyear fishes a question of critical weight</v>
      </c>
      <c r="D290" s="6"/>
      <c r="E290" s="6"/>
      <c r="F290" s="6"/>
      <c r="G290" s="6"/>
      <c r="H290" s="6"/>
      <c r="I290" s="6"/>
      <c r="J290" s="5">
        <v>2000.0</v>
      </c>
      <c r="K290" s="6"/>
      <c r="L290" s="5" t="s">
        <v>1142</v>
      </c>
      <c r="M290" s="6"/>
      <c r="N290" s="6"/>
      <c r="O290" s="4"/>
    </row>
    <row r="291">
      <c r="A291" s="5" t="s">
        <v>1143</v>
      </c>
      <c r="B291" s="5" t="s">
        <v>1144</v>
      </c>
      <c r="C291" s="5" t="str">
        <f>IFERROR(__xludf.DUMMYFUNCTION("LOWER(TRIM(REGEXREPLACE(B291, ""[[:punct:]]"", """")))"),"putative new plant viruses associated with plasmopara viticola‐infected grapevine samples")</f>
        <v>putative new plant viruses associated with plasmopara viticola‐infected grapevine samples</v>
      </c>
      <c r="D291" s="5" t="s">
        <v>1145</v>
      </c>
      <c r="E291" s="6"/>
      <c r="F291" s="6"/>
      <c r="G291" s="6"/>
      <c r="H291" s="6"/>
      <c r="I291" s="6"/>
      <c r="J291" s="6"/>
      <c r="K291" s="6"/>
      <c r="L291" s="5" t="s">
        <v>44</v>
      </c>
      <c r="M291" s="6"/>
      <c r="N291" s="6"/>
      <c r="O291" s="4"/>
    </row>
    <row r="292">
      <c r="A292" s="5" t="s">
        <v>1146</v>
      </c>
      <c r="B292" s="5" t="s">
        <v>1147</v>
      </c>
      <c r="C292" s="5" t="str">
        <f>IFERROR(__xludf.DUMMYFUNCTION("LOWER(TRIM(REGEXREPLACE(B292, ""[[:punct:]]"", """")))"),"fatty and amino acids composition of bactrocera zonata as affected by substerilizing and sterilizing doses of gamma radiation")</f>
        <v>fatty and amino acids composition of bactrocera zonata as affected by substerilizing and sterilizing doses of gamma radiation</v>
      </c>
      <c r="D292" s="5" t="s">
        <v>1148</v>
      </c>
      <c r="E292" s="6"/>
      <c r="F292" s="6"/>
      <c r="G292" s="6"/>
      <c r="H292" s="6"/>
      <c r="I292" s="6"/>
      <c r="J292" s="5">
        <v>2016.0</v>
      </c>
      <c r="K292" s="6"/>
      <c r="L292" s="5" t="s">
        <v>297</v>
      </c>
      <c r="M292" s="6"/>
      <c r="N292" s="6"/>
      <c r="O292" s="4"/>
    </row>
    <row r="293">
      <c r="A293" s="5" t="s">
        <v>1149</v>
      </c>
      <c r="B293" s="5" t="s">
        <v>1150</v>
      </c>
      <c r="C293" s="5" t="str">
        <f>IFERROR(__xludf.DUMMYFUNCTION("LOWER(TRIM(REGEXREPLACE(B293, ""[[:punct:]]"", """")))"),"testprogram for overskuddsog restmasser som planlegges brukt til tildekking av forurensede sedimenter")</f>
        <v>testprogram for overskuddsog restmasser som planlegges brukt til tildekking av forurensede sedimenter</v>
      </c>
      <c r="D293" s="6"/>
      <c r="E293" s="6"/>
      <c r="F293" s="6"/>
      <c r="G293" s="6"/>
      <c r="H293" s="6"/>
      <c r="I293" s="6"/>
      <c r="J293" s="5">
        <v>2006.0</v>
      </c>
      <c r="K293" s="6"/>
      <c r="L293" s="5" t="s">
        <v>434</v>
      </c>
      <c r="M293" s="6"/>
      <c r="N293" s="6"/>
      <c r="O293" s="4"/>
    </row>
    <row r="294">
      <c r="A294" s="5" t="s">
        <v>1151</v>
      </c>
      <c r="B294" s="5" t="s">
        <v>1152</v>
      </c>
      <c r="C294" s="5" t="str">
        <f>IFERROR(__xludf.DUMMYFUNCTION("LOWER(TRIM(REGEXREPLACE(B294, ""[[:punct:]]"", """")))"),"dynamique doffre de fourrages relative a lenvironnement facteurs explicatifs sur les marches du benin et du burkina faso")</f>
        <v>dynamique doffre de fourrages relative a lenvironnement facteurs explicatifs sur les marches du benin et du burkina faso</v>
      </c>
      <c r="D294" s="6"/>
      <c r="E294" s="6"/>
      <c r="F294" s="6"/>
      <c r="G294" s="6"/>
      <c r="H294" s="6"/>
      <c r="I294" s="6"/>
      <c r="J294" s="6"/>
      <c r="K294" s="6"/>
      <c r="L294" s="5" t="s">
        <v>1099</v>
      </c>
      <c r="M294" s="6"/>
      <c r="N294" s="6"/>
      <c r="O294" s="4"/>
    </row>
    <row r="295">
      <c r="A295" s="5" t="s">
        <v>1153</v>
      </c>
      <c r="B295" s="5" t="s">
        <v>1154</v>
      </c>
      <c r="C295" s="5" t="str">
        <f>IFERROR(__xludf.DUMMYFUNCTION("LOWER(TRIM(REGEXREPLACE(B295, ""[[:punct:]]"", """")))"),"nova school of business and economics universidade nova de lisboa three essays on entrepreneurship and innovation the role of late adopters")</f>
        <v>nova school of business and economics universidade nova de lisboa three essays on entrepreneurship and innovation the role of late adopters</v>
      </c>
      <c r="D295" s="6"/>
      <c r="E295" s="6"/>
      <c r="F295" s="6"/>
      <c r="G295" s="6"/>
      <c r="H295" s="6"/>
      <c r="I295" s="6"/>
      <c r="J295" s="5">
        <v>2016.0</v>
      </c>
      <c r="K295" s="6"/>
      <c r="L295" s="5" t="s">
        <v>1099</v>
      </c>
      <c r="M295" s="6"/>
      <c r="N295" s="6"/>
      <c r="O295" s="4"/>
    </row>
    <row r="296">
      <c r="A296" s="5" t="s">
        <v>1155</v>
      </c>
      <c r="B296" s="5" t="s">
        <v>1156</v>
      </c>
      <c r="C296" s="5" t="str">
        <f>IFERROR(__xludf.DUMMYFUNCTION("LOWER(TRIM(REGEXREPLACE(B296, ""[[:punct:]]"", """")))"),"organization and representation of informal workers in são tomé and príncipe state agency and sectoral informal alternatives")</f>
        <v>organization and representation of informal workers in são tomé and príncipe state agency and sectoral informal alternatives</v>
      </c>
      <c r="D296" s="5" t="s">
        <v>1157</v>
      </c>
      <c r="E296" s="6"/>
      <c r="F296" s="6"/>
      <c r="G296" s="6"/>
      <c r="H296" s="6"/>
      <c r="I296" s="6"/>
      <c r="J296" s="5">
        <v>2017.0</v>
      </c>
      <c r="K296" s="6"/>
      <c r="L296" s="5" t="s">
        <v>1158</v>
      </c>
      <c r="M296" s="6"/>
      <c r="N296" s="6"/>
      <c r="O296" s="4"/>
    </row>
    <row r="297">
      <c r="A297" s="5" t="s">
        <v>1159</v>
      </c>
      <c r="B297" s="5" t="s">
        <v>1160</v>
      </c>
      <c r="C297" s="5" t="str">
        <f>IFERROR(__xludf.DUMMYFUNCTION("LOWER(TRIM(REGEXREPLACE(B297, ""[[:punct:]]"", """")))"),"brainmachine interface")</f>
        <v>brainmachine interface</v>
      </c>
      <c r="D297" s="5" t="s">
        <v>1161</v>
      </c>
      <c r="E297" s="6"/>
      <c r="F297" s="6"/>
      <c r="G297" s="6"/>
      <c r="H297" s="6"/>
      <c r="I297" s="5">
        <v>308.0</v>
      </c>
      <c r="J297" s="5">
        <v>2015.0</v>
      </c>
      <c r="K297" s="5" t="s">
        <v>1162</v>
      </c>
      <c r="L297" s="5" t="s">
        <v>1163</v>
      </c>
      <c r="M297" s="6"/>
      <c r="N297" s="6"/>
      <c r="O297" s="4"/>
    </row>
    <row r="298">
      <c r="A298" s="5" t="s">
        <v>1164</v>
      </c>
      <c r="B298" s="5" t="s">
        <v>1165</v>
      </c>
      <c r="C298" s="5" t="str">
        <f>IFERROR(__xludf.DUMMYFUNCTION("LOWER(TRIM(REGEXREPLACE(B298, ""[[:punct:]]"", """")))"),"police stops decisionmaking and practice")</f>
        <v>police stops decisionmaking and practice</v>
      </c>
      <c r="D298" s="5" t="s">
        <v>1166</v>
      </c>
      <c r="E298" s="6"/>
      <c r="F298" s="6"/>
      <c r="G298" s="6"/>
      <c r="H298" s="6"/>
      <c r="I298" s="6"/>
      <c r="J298" s="5">
        <v>2000.0</v>
      </c>
      <c r="K298" s="6"/>
      <c r="L298" s="5" t="s">
        <v>297</v>
      </c>
      <c r="M298" s="6"/>
      <c r="N298" s="6"/>
      <c r="O298" s="4"/>
    </row>
    <row r="299">
      <c r="A299" s="9" t="s">
        <v>1167</v>
      </c>
      <c r="B299" s="9" t="s">
        <v>1168</v>
      </c>
      <c r="C299" s="9" t="s">
        <v>1169</v>
      </c>
      <c r="D299" s="10">
        <v>31.0</v>
      </c>
      <c r="E299" s="10">
        <v>2.0</v>
      </c>
      <c r="F299" s="11" t="s">
        <v>1170</v>
      </c>
      <c r="G299" s="10">
        <v>2024.0</v>
      </c>
      <c r="H299" s="11" t="s">
        <v>209</v>
      </c>
      <c r="I299" s="11"/>
      <c r="J299" s="9"/>
      <c r="K299" s="6"/>
      <c r="L299" s="5" t="s">
        <v>225</v>
      </c>
      <c r="M299" s="6"/>
      <c r="N299" s="6"/>
      <c r="O299" s="4"/>
    </row>
    <row r="300">
      <c r="A300" s="9" t="s">
        <v>1171</v>
      </c>
      <c r="B300" s="9" t="s">
        <v>1172</v>
      </c>
      <c r="C300" s="9" t="s">
        <v>1173</v>
      </c>
      <c r="D300" s="11"/>
      <c r="E300" s="11"/>
      <c r="F300" s="11"/>
      <c r="G300" s="11"/>
      <c r="H300" s="11"/>
      <c r="I300" s="11"/>
      <c r="J300" s="5"/>
      <c r="K300" s="6"/>
      <c r="L300" s="5" t="s">
        <v>225</v>
      </c>
      <c r="M300" s="6"/>
      <c r="N300" s="6"/>
      <c r="O300" s="4"/>
    </row>
    <row r="301">
      <c r="A301" s="5" t="s">
        <v>1174</v>
      </c>
      <c r="B301" s="5" t="s">
        <v>1175</v>
      </c>
      <c r="C301" s="5" t="str">
        <f>IFERROR(__xludf.DUMMYFUNCTION("LOWER(TRIM(REGEXREPLACE(B301, ""[[:punct:]]"", """")))"),"marine and estuarine environments organisms and geology of the cape cod region an indexed bibliography 16651965 by anne e yentsch and others")</f>
        <v>marine and estuarine environments organisms and geology of the cape cod region an indexed bibliography 16651965 by anne e yentsch and others</v>
      </c>
      <c r="D301" s="6"/>
      <c r="E301" s="6"/>
      <c r="F301" s="6"/>
      <c r="G301" s="6"/>
      <c r="H301" s="6"/>
      <c r="I301" s="6"/>
      <c r="J301" s="5">
        <v>1966.0</v>
      </c>
      <c r="K301" s="6"/>
      <c r="L301" s="5" t="s">
        <v>1176</v>
      </c>
      <c r="M301" s="6"/>
      <c r="N301" s="6"/>
      <c r="O301" s="4"/>
    </row>
    <row r="302">
      <c r="A302" s="12" t="s">
        <v>1177</v>
      </c>
      <c r="B302" s="13"/>
      <c r="C302" s="12" t="s">
        <v>1178</v>
      </c>
      <c r="D302" s="13"/>
      <c r="E302" s="13"/>
      <c r="F302" s="13"/>
      <c r="G302" s="13"/>
      <c r="H302" s="13"/>
      <c r="I302" s="13"/>
      <c r="J302" s="13"/>
      <c r="K302" s="13"/>
      <c r="L302" s="13"/>
      <c r="M302" s="13"/>
      <c r="N302" s="13"/>
      <c r="O302" s="14"/>
      <c r="P302" s="13"/>
      <c r="Q302" s="13"/>
      <c r="R302" s="13"/>
      <c r="S302" s="13"/>
      <c r="T302" s="13"/>
      <c r="U302" s="13"/>
      <c r="V302" s="13"/>
      <c r="W302" s="13"/>
    </row>
    <row r="303">
      <c r="A303" s="13" t="s">
        <v>0</v>
      </c>
      <c r="B303" s="13" t="s">
        <v>1</v>
      </c>
      <c r="C303" s="12" t="s">
        <v>1179</v>
      </c>
      <c r="D303" s="13" t="s">
        <v>1180</v>
      </c>
      <c r="E303" s="13" t="s">
        <v>1181</v>
      </c>
      <c r="F303" s="13" t="s">
        <v>7</v>
      </c>
      <c r="G303" s="13" t="s">
        <v>1182</v>
      </c>
      <c r="H303" s="13" t="s">
        <v>4</v>
      </c>
      <c r="I303" s="13" t="s">
        <v>1183</v>
      </c>
      <c r="J303" s="13" t="s">
        <v>1184</v>
      </c>
      <c r="K303" s="13" t="s">
        <v>1185</v>
      </c>
      <c r="L303" s="13"/>
      <c r="M303" s="13"/>
      <c r="N303" s="13"/>
      <c r="O303" s="14"/>
      <c r="P303" s="13"/>
      <c r="Q303" s="13"/>
      <c r="R303" s="13"/>
      <c r="S303" s="13"/>
      <c r="T303" s="13"/>
      <c r="U303" s="13"/>
      <c r="V303" s="13"/>
      <c r="W303" s="13"/>
    </row>
    <row r="304">
      <c r="A304" s="11" t="s">
        <v>1186</v>
      </c>
      <c r="B304" s="11" t="s">
        <v>1187</v>
      </c>
      <c r="C304" s="11" t="str">
        <f>IFERROR(__xludf.DUMMYFUNCTION("LOWER(TRIM(REGEXREPLACE(B304, ""[[:punct:]]"", """")))"),"artificial intelligence and sustainable practices in coastal marinas a comparative study of monaco and ibiza")</f>
        <v>artificial intelligence and sustainable practices in coastal marinas a comparative study of monaco and ibiza</v>
      </c>
      <c r="D304" s="11" t="s">
        <v>1188</v>
      </c>
      <c r="E304" s="11" t="s">
        <v>1189</v>
      </c>
      <c r="F304" s="10">
        <v>2025.0</v>
      </c>
      <c r="G304" s="11" t="s">
        <v>1190</v>
      </c>
      <c r="H304" s="10">
        <v>17.0</v>
      </c>
      <c r="I304" s="10">
        <v>16.0</v>
      </c>
      <c r="J304" s="10">
        <v>7404.0</v>
      </c>
      <c r="K304" s="11" t="s">
        <v>1191</v>
      </c>
      <c r="L304" s="15" t="s">
        <v>1192</v>
      </c>
      <c r="M304" s="10"/>
      <c r="N304" s="11"/>
      <c r="O304" s="16"/>
      <c r="P304" s="13"/>
      <c r="Q304" s="13"/>
      <c r="R304" s="13"/>
      <c r="S304" s="13"/>
      <c r="T304" s="13"/>
      <c r="U304" s="13"/>
      <c r="V304" s="13"/>
      <c r="W304" s="13"/>
    </row>
    <row r="305">
      <c r="A305" s="11" t="s">
        <v>1193</v>
      </c>
      <c r="B305" s="11" t="s">
        <v>1194</v>
      </c>
      <c r="C305" s="11" t="str">
        <f>IFERROR(__xludf.DUMMYFUNCTION("LOWER(TRIM(REGEXREPLACE(B305, ""[[:punct:]]"", """")))"),"recalibrating coastal and marine environmental governance through integrated data infrastructures the emmera platform")</f>
        <v>recalibrating coastal and marine environmental governance through integrated data infrastructures the emmera platform</v>
      </c>
      <c r="D305" s="11" t="s">
        <v>1195</v>
      </c>
      <c r="E305" s="11" t="s">
        <v>1196</v>
      </c>
      <c r="F305" s="10">
        <v>2026.0</v>
      </c>
      <c r="G305" s="11" t="s">
        <v>1190</v>
      </c>
      <c r="H305" s="10">
        <v>18.0</v>
      </c>
      <c r="I305" s="10">
        <v>14.0</v>
      </c>
      <c r="J305" s="10">
        <v>7144.0</v>
      </c>
      <c r="K305" s="11" t="s">
        <v>1197</v>
      </c>
      <c r="L305" s="15" t="s">
        <v>540</v>
      </c>
      <c r="M305" s="10"/>
      <c r="N305" s="11"/>
      <c r="O305" s="16"/>
      <c r="P305" s="13"/>
      <c r="Q305" s="13"/>
      <c r="R305" s="13"/>
      <c r="S305" s="13"/>
      <c r="T305" s="13"/>
      <c r="U305" s="13"/>
      <c r="V305" s="13"/>
      <c r="W305" s="13"/>
    </row>
    <row r="306">
      <c r="A306" s="11" t="s">
        <v>1198</v>
      </c>
      <c r="B306" s="11" t="s">
        <v>1199</v>
      </c>
      <c r="C306" s="11" t="str">
        <f>IFERROR(__xludf.DUMMYFUNCTION("LOWER(TRIM(REGEXREPLACE(B306, ""[[:punct:]]"", """")))"),"precision aquaculture strategies under the integration of intelligent monitoring and digital twin")</f>
        <v>precision aquaculture strategies under the integration of intelligent monitoring and digital twin</v>
      </c>
      <c r="D306" s="11" t="s">
        <v>1200</v>
      </c>
      <c r="E306" s="11" t="s">
        <v>1201</v>
      </c>
      <c r="F306" s="10">
        <v>2025.0</v>
      </c>
      <c r="G306" s="11" t="s">
        <v>1202</v>
      </c>
      <c r="H306" s="10">
        <v>13682.0</v>
      </c>
      <c r="I306" s="11"/>
      <c r="J306" s="11" t="s">
        <v>1203</v>
      </c>
      <c r="K306" s="11" t="s">
        <v>1204</v>
      </c>
      <c r="L306" s="15" t="s">
        <v>1205</v>
      </c>
      <c r="M306" s="10"/>
      <c r="N306" s="11"/>
      <c r="O306" s="16"/>
      <c r="P306" s="13"/>
      <c r="Q306" s="13"/>
      <c r="R306" s="13"/>
      <c r="S306" s="13"/>
      <c r="T306" s="13"/>
      <c r="U306" s="13"/>
      <c r="V306" s="13"/>
      <c r="W306" s="13"/>
    </row>
    <row r="307">
      <c r="A307" s="11" t="s">
        <v>1206</v>
      </c>
      <c r="B307" s="11" t="s">
        <v>1207</v>
      </c>
      <c r="C307" s="11" t="str">
        <f>IFERROR(__xludf.DUMMYFUNCTION("LOWER(TRIM(REGEXREPLACE(B307, ""[[:punct:]]"", """")))"),"an endtoend ocean environmental noise anomaly detection framework combining time–frequency information and expert gating")</f>
        <v>an endtoend ocean environmental noise anomaly detection framework combining time–frequency information and expert gating</v>
      </c>
      <c r="D307" s="11" t="s">
        <v>1208</v>
      </c>
      <c r="E307" s="11" t="s">
        <v>1209</v>
      </c>
      <c r="F307" s="10">
        <v>2025.0</v>
      </c>
      <c r="G307" s="11" t="s">
        <v>217</v>
      </c>
      <c r="H307" s="10">
        <v>13.0</v>
      </c>
      <c r="I307" s="10">
        <v>1.0</v>
      </c>
      <c r="J307" s="10">
        <v>141.0</v>
      </c>
      <c r="K307" s="11" t="s">
        <v>1210</v>
      </c>
      <c r="L307" s="15" t="s">
        <v>1211</v>
      </c>
      <c r="M307" s="10"/>
      <c r="N307" s="11"/>
      <c r="O307" s="16"/>
      <c r="P307" s="13"/>
      <c r="Q307" s="13"/>
      <c r="R307" s="13"/>
      <c r="S307" s="13"/>
      <c r="T307" s="13"/>
      <c r="U307" s="13"/>
      <c r="V307" s="13"/>
      <c r="W307" s="13"/>
    </row>
    <row r="308">
      <c r="A308" s="11" t="s">
        <v>1212</v>
      </c>
      <c r="B308" s="11" t="s">
        <v>1213</v>
      </c>
      <c r="C308" s="11" t="str">
        <f>IFERROR(__xludf.DUMMYFUNCTION("LOWER(TRIM(REGEXREPLACE(B308, ""[[:punct:]]"", """")))"),"cloud detection for fy3d mersi ⅱ images combine radiative transfer simulation and shallow neural network 结合辐射传输模拟与浅层神经网络的 fy3d mersi 影像云识别")</f>
        <v>cloud detection for fy3d mersi ⅱ images combine radiative transfer simulation and shallow neural network 结合辐射传输模拟与浅层神经网络的 fy3d mersi 影像云识别</v>
      </c>
      <c r="D308" s="11" t="s">
        <v>1214</v>
      </c>
      <c r="E308" s="11" t="s">
        <v>1215</v>
      </c>
      <c r="F308" s="10">
        <v>2022.0</v>
      </c>
      <c r="G308" s="11" t="s">
        <v>982</v>
      </c>
      <c r="H308" s="10">
        <v>26.0</v>
      </c>
      <c r="I308" s="10">
        <v>11.0</v>
      </c>
      <c r="J308" s="11"/>
      <c r="K308" s="11" t="s">
        <v>1216</v>
      </c>
      <c r="L308" s="17" t="s">
        <v>1217</v>
      </c>
      <c r="M308" s="10"/>
      <c r="N308" s="11"/>
      <c r="O308" s="16"/>
      <c r="P308" s="13"/>
      <c r="Q308" s="13"/>
      <c r="R308" s="13"/>
      <c r="S308" s="13"/>
      <c r="T308" s="13"/>
      <c r="U308" s="13"/>
      <c r="V308" s="13"/>
      <c r="W308" s="13"/>
    </row>
    <row r="309">
      <c r="A309" s="11" t="s">
        <v>1218</v>
      </c>
      <c r="B309" s="11" t="s">
        <v>1219</v>
      </c>
      <c r="C309" s="11" t="str">
        <f>IFERROR(__xludf.DUMMYFUNCTION("LOWER(TRIM(REGEXREPLACE(B309, ""[[:punct:]]"", """")))"),"nextgen maritime security by leveraging advanced ais analytics for precision detection and monitoring of boats in ocean")</f>
        <v>nextgen maritime security by leveraging advanced ais analytics for precision detection and monitoring of boats in ocean</v>
      </c>
      <c r="D309" s="11" t="s">
        <v>1220</v>
      </c>
      <c r="E309" s="11" t="s">
        <v>1221</v>
      </c>
      <c r="F309" s="10">
        <v>2024.0</v>
      </c>
      <c r="G309" s="11" t="s">
        <v>1222</v>
      </c>
      <c r="H309" s="11"/>
      <c r="I309" s="11"/>
      <c r="J309" s="11"/>
      <c r="K309" s="11" t="s">
        <v>1223</v>
      </c>
      <c r="L309" s="15" t="s">
        <v>1224</v>
      </c>
      <c r="M309" s="10"/>
      <c r="N309" s="11"/>
      <c r="O309" s="16"/>
      <c r="P309" s="13"/>
      <c r="Q309" s="13"/>
      <c r="R309" s="13"/>
      <c r="S309" s="13"/>
      <c r="T309" s="13"/>
      <c r="U309" s="13"/>
      <c r="V309" s="13"/>
      <c r="W309" s="13"/>
    </row>
    <row r="310">
      <c r="A310" s="11" t="s">
        <v>1225</v>
      </c>
      <c r="B310" s="11" t="s">
        <v>1226</v>
      </c>
      <c r="C310" s="11" t="str">
        <f>IFERROR(__xludf.DUMMYFUNCTION("LOWER(TRIM(REGEXREPLACE(B310, ""[[:punct:]]"", """")))"),"signal beneath the surface a deep learning pipeline for marine acoustic intelligence")</f>
        <v>signal beneath the surface a deep learning pipeline for marine acoustic intelligence</v>
      </c>
      <c r="D310" s="11" t="s">
        <v>1227</v>
      </c>
      <c r="E310" s="11" t="s">
        <v>1228</v>
      </c>
      <c r="F310" s="10">
        <v>2026.0</v>
      </c>
      <c r="G310" s="11" t="s">
        <v>1229</v>
      </c>
      <c r="H310" s="11" t="s">
        <v>1230</v>
      </c>
      <c r="I310" s="11"/>
      <c r="J310" s="11"/>
      <c r="K310" s="11" t="s">
        <v>1231</v>
      </c>
      <c r="L310" s="17" t="s">
        <v>1232</v>
      </c>
      <c r="M310" s="10"/>
      <c r="N310" s="11"/>
      <c r="O310" s="16"/>
      <c r="P310" s="13"/>
      <c r="Q310" s="13"/>
      <c r="R310" s="13"/>
      <c r="S310" s="13"/>
      <c r="T310" s="13"/>
      <c r="U310" s="13"/>
      <c r="V310" s="13"/>
      <c r="W310" s="13"/>
    </row>
    <row r="311">
      <c r="A311" s="18" t="s">
        <v>1233</v>
      </c>
      <c r="B311" s="18" t="s">
        <v>1234</v>
      </c>
      <c r="C311" s="18" t="str">
        <f>IFERROR(__xludf.DUMMYFUNCTION("LOWER(TRIM(REGEXREPLACE(B311, ""[[:punct:]]"", """")))"),"unsupervised detection of red tides in satellite imagery based on spatialspectral information fusion")</f>
        <v>unsupervised detection of red tides in satellite imagery based on spatialspectral information fusion</v>
      </c>
      <c r="D311" s="18" t="s">
        <v>1235</v>
      </c>
      <c r="E311" s="18" t="s">
        <v>1236</v>
      </c>
      <c r="F311" s="19">
        <v>2025.0</v>
      </c>
      <c r="G311" s="18" t="s">
        <v>1237</v>
      </c>
      <c r="H311" s="18"/>
      <c r="I311" s="18"/>
      <c r="J311" s="18"/>
      <c r="K311" s="18" t="s">
        <v>1238</v>
      </c>
      <c r="L311" s="20" t="s">
        <v>17</v>
      </c>
      <c r="M311" s="21" t="s">
        <v>26</v>
      </c>
      <c r="N311" s="18"/>
      <c r="O311" s="16"/>
      <c r="P311" s="13"/>
      <c r="Q311" s="13"/>
      <c r="R311" s="13"/>
      <c r="S311" s="13"/>
      <c r="T311" s="13"/>
      <c r="U311" s="13"/>
      <c r="V311" s="13"/>
      <c r="W311" s="13"/>
    </row>
    <row r="312">
      <c r="A312" s="22" t="s">
        <v>1239</v>
      </c>
      <c r="B312" s="13"/>
      <c r="C312" s="12" t="s">
        <v>1178</v>
      </c>
      <c r="D312" s="13"/>
      <c r="E312" s="13"/>
      <c r="F312" s="13"/>
      <c r="G312" s="13"/>
      <c r="H312" s="23"/>
      <c r="I312" s="24"/>
      <c r="J312" s="13"/>
      <c r="K312" s="13"/>
      <c r="L312" s="13"/>
      <c r="M312" s="13"/>
      <c r="O312" s="4"/>
    </row>
    <row r="313">
      <c r="A313" s="19">
        <v>3.7979211E7</v>
      </c>
      <c r="B313" s="18" t="s">
        <v>1240</v>
      </c>
      <c r="C313" s="18" t="str">
        <f>IFERROR(__xludf.DUMMYFUNCTION("LOWER(TRIM(REGEXREPLACE(B313, ""[[:punct:]]"", """")))"),"using teacherstudent neural networks based on knowledge distillation to detect anomalous samples in the otolith images")</f>
        <v>using teacherstudent neural networks based on knowledge distillation to detect anomalous samples in the otolith images</v>
      </c>
      <c r="D313" s="18" t="s">
        <v>1241</v>
      </c>
      <c r="E313" s="18" t="s">
        <v>1242</v>
      </c>
      <c r="F313" s="18" t="s">
        <v>1243</v>
      </c>
      <c r="G313" s="18" t="s">
        <v>1244</v>
      </c>
      <c r="H313" s="19">
        <v>2023.0</v>
      </c>
      <c r="I313" s="25">
        <v>45248.0</v>
      </c>
      <c r="J313" s="18"/>
      <c r="K313" s="18"/>
      <c r="L313" s="26" t="s">
        <v>17</v>
      </c>
      <c r="M313" s="26" t="s">
        <v>26</v>
      </c>
      <c r="N313" s="3"/>
      <c r="O313" s="4"/>
    </row>
    <row r="314">
      <c r="A314" s="10">
        <v>4.1668183E7</v>
      </c>
      <c r="B314" s="11" t="s">
        <v>1245</v>
      </c>
      <c r="C314" s="11" t="str">
        <f>IFERROR(__xludf.DUMMYFUNCTION("LOWER(TRIM(REGEXREPLACE(B314, ""[[:punct:]]"", """")))"),"ramex an r package for highthroughput microbial ramanome analyses with accurate quality assessment")</f>
        <v>ramex an r package for highthroughput microbial ramanome analyses with accurate quality assessment</v>
      </c>
      <c r="D314" s="11" t="s">
        <v>1246</v>
      </c>
      <c r="E314" s="11" t="s">
        <v>1247</v>
      </c>
      <c r="F314" s="11" t="s">
        <v>1248</v>
      </c>
      <c r="G314" s="11" t="s">
        <v>1249</v>
      </c>
      <c r="H314" s="10">
        <v>2026.0</v>
      </c>
      <c r="I314" s="27">
        <v>46063.0</v>
      </c>
      <c r="J314" s="11" t="s">
        <v>1250</v>
      </c>
      <c r="K314" s="11"/>
      <c r="L314" s="15" t="s">
        <v>1251</v>
      </c>
      <c r="M314" s="11"/>
      <c r="N314" s="6"/>
      <c r="O314" s="4"/>
    </row>
    <row r="315">
      <c r="A315" s="10">
        <v>4.1766741E7</v>
      </c>
      <c r="B315" s="11" t="s">
        <v>1252</v>
      </c>
      <c r="C315" s="11" t="str">
        <f>IFERROR(__xludf.DUMMYFUNCTION("LOWER(TRIM(REGEXREPLACE(B315, ""[[:punct:]]"", """")))"),"phyloref a semiautomated workflow for edna reference database curation via phylogenetic anomaly detection")</f>
        <v>phyloref a semiautomated workflow for edna reference database curation via phylogenetic anomaly detection</v>
      </c>
      <c r="D315" s="11" t="s">
        <v>1253</v>
      </c>
      <c r="E315" s="11" t="s">
        <v>1254</v>
      </c>
      <c r="F315" s="11" t="s">
        <v>1255</v>
      </c>
      <c r="G315" s="11" t="s">
        <v>1256</v>
      </c>
      <c r="H315" s="10">
        <v>2026.0</v>
      </c>
      <c r="I315" s="27">
        <v>46083.0</v>
      </c>
      <c r="J315" s="11" t="s">
        <v>1257</v>
      </c>
      <c r="K315" s="11"/>
      <c r="L315" s="15" t="s">
        <v>1258</v>
      </c>
      <c r="M315" s="11"/>
      <c r="N315" s="6"/>
      <c r="O315" s="4"/>
    </row>
    <row r="316">
      <c r="A316" s="28" t="s">
        <v>1259</v>
      </c>
      <c r="B316" s="14"/>
      <c r="C316" s="28" t="s">
        <v>1178</v>
      </c>
      <c r="D316" s="14"/>
      <c r="E316" s="14"/>
      <c r="F316" s="14"/>
      <c r="G316" s="14"/>
      <c r="H316" s="14"/>
      <c r="I316" s="14"/>
      <c r="J316" s="14"/>
      <c r="K316" s="14"/>
      <c r="L316" s="14"/>
      <c r="M316" s="28"/>
      <c r="N316" s="14"/>
      <c r="O316" s="14"/>
      <c r="P316" s="13"/>
      <c r="Q316" s="13"/>
      <c r="R316" s="13"/>
      <c r="S316" s="13"/>
      <c r="T316" s="13"/>
      <c r="U316" s="13"/>
      <c r="V316" s="13"/>
      <c r="W316" s="13"/>
      <c r="X316" s="13"/>
      <c r="Y316" s="13"/>
      <c r="Z316" s="13"/>
      <c r="AA316" s="13"/>
      <c r="AB316" s="13"/>
      <c r="AC316" s="13"/>
      <c r="AD316" s="13"/>
      <c r="AE316" s="13"/>
      <c r="AF316" s="13"/>
      <c r="AG316" s="13"/>
      <c r="AH316" s="13"/>
      <c r="AI316" s="13"/>
      <c r="AJ316" s="13"/>
      <c r="AK316" s="13"/>
      <c r="AL316" s="13"/>
      <c r="AM316" s="13"/>
      <c r="AN316" s="13"/>
      <c r="AO316" s="13"/>
      <c r="AP316" s="13"/>
      <c r="AQ316" s="13"/>
      <c r="AR316" s="13"/>
      <c r="AS316" s="13"/>
      <c r="AT316" s="13"/>
      <c r="AU316" s="13"/>
      <c r="AV316" s="13"/>
      <c r="AW316" s="13"/>
      <c r="AX316" s="13"/>
      <c r="AY316" s="13"/>
      <c r="AZ316" s="13"/>
      <c r="BA316" s="13"/>
      <c r="BB316" s="13"/>
      <c r="BC316" s="13"/>
      <c r="BD316" s="13"/>
      <c r="BE316" s="13"/>
      <c r="BF316" s="13"/>
      <c r="BG316" s="13"/>
      <c r="BH316" s="13"/>
      <c r="BI316" s="13"/>
      <c r="BJ316" s="13"/>
      <c r="BK316" s="13"/>
      <c r="BL316" s="13"/>
      <c r="BM316" s="13"/>
      <c r="BN316" s="13"/>
      <c r="BO316" s="13"/>
      <c r="BP316" s="13"/>
      <c r="BQ316" s="13"/>
      <c r="BR316" s="13"/>
      <c r="BS316" s="13"/>
      <c r="BT316" s="13"/>
      <c r="BU316" s="13"/>
      <c r="BV316" s="13"/>
      <c r="BW316" s="13"/>
      <c r="BX316" s="13"/>
      <c r="BY316" s="13"/>
      <c r="BZ316" s="13"/>
    </row>
    <row r="317">
      <c r="A317" s="13" t="s">
        <v>0</v>
      </c>
      <c r="B317" s="13" t="s">
        <v>1260</v>
      </c>
      <c r="C317" s="12" t="s">
        <v>1261</v>
      </c>
      <c r="D317" s="13" t="s">
        <v>1262</v>
      </c>
      <c r="E317" s="13" t="s">
        <v>1263</v>
      </c>
      <c r="F317" s="13" t="s">
        <v>1264</v>
      </c>
      <c r="G317" s="13" t="s">
        <v>1265</v>
      </c>
      <c r="H317" s="13" t="s">
        <v>1266</v>
      </c>
      <c r="I317" s="13" t="s">
        <v>1267</v>
      </c>
      <c r="J317" s="13" t="s">
        <v>1268</v>
      </c>
      <c r="K317" s="13" t="s">
        <v>1185</v>
      </c>
      <c r="L317" s="13"/>
      <c r="M317" s="13"/>
      <c r="N317" s="13"/>
      <c r="O317" s="14"/>
      <c r="P317" s="13"/>
      <c r="Q317" s="13"/>
      <c r="R317" s="13"/>
      <c r="S317" s="13"/>
      <c r="T317" s="13"/>
      <c r="U317" s="13"/>
      <c r="V317" s="13"/>
      <c r="W317" s="13"/>
      <c r="X317" s="13"/>
      <c r="Y317" s="13"/>
      <c r="Z317" s="13"/>
      <c r="AA317" s="13"/>
      <c r="AB317" s="13"/>
      <c r="AC317" s="13"/>
      <c r="AD317" s="13"/>
      <c r="AE317" s="13"/>
      <c r="AF317" s="13"/>
      <c r="AG317" s="13"/>
      <c r="AH317" s="13"/>
      <c r="AI317" s="13"/>
      <c r="AJ317" s="13"/>
      <c r="AK317" s="13"/>
      <c r="AL317" s="13"/>
      <c r="AM317" s="13"/>
      <c r="AN317" s="13"/>
      <c r="AO317" s="13"/>
      <c r="AP317" s="13"/>
      <c r="AQ317" s="13"/>
      <c r="AR317" s="13"/>
      <c r="AS317" s="13"/>
      <c r="AT317" s="13"/>
      <c r="AU317" s="13"/>
      <c r="AV317" s="13"/>
      <c r="AW317" s="13"/>
      <c r="AX317" s="13"/>
      <c r="AY317" s="13"/>
      <c r="AZ317" s="13"/>
      <c r="BA317" s="13"/>
      <c r="BB317" s="13"/>
      <c r="BC317" s="13"/>
      <c r="BD317" s="13"/>
      <c r="BE317" s="13"/>
      <c r="BF317" s="13"/>
      <c r="BG317" s="13"/>
      <c r="BH317" s="13"/>
      <c r="BI317" s="13"/>
      <c r="BJ317" s="13"/>
      <c r="BK317" s="13"/>
      <c r="BL317" s="13"/>
      <c r="BM317" s="13"/>
      <c r="BN317" s="13"/>
      <c r="BO317" s="13"/>
      <c r="BP317" s="13"/>
      <c r="BQ317" s="13"/>
      <c r="BR317" s="13"/>
      <c r="BS317" s="13"/>
      <c r="BT317" s="13"/>
      <c r="BU317" s="13"/>
      <c r="BV317" s="13"/>
      <c r="BW317" s="13"/>
      <c r="BX317" s="13"/>
      <c r="BY317" s="13"/>
      <c r="BZ317" s="13"/>
    </row>
    <row r="318">
      <c r="A318" s="11" t="s">
        <v>1269</v>
      </c>
      <c r="B318" s="11" t="s">
        <v>1270</v>
      </c>
      <c r="C318" s="11" t="str">
        <f>IFERROR(__xludf.DUMMYFUNCTION("LOWER(TRIM(REGEXREPLACE(B318, ""[[:punct:]]"", """")))"),"hplclip hyperbolic prompt learning for zeroshot anomaly detection")</f>
        <v>hplclip hyperbolic prompt learning for zeroshot anomaly detection</v>
      </c>
      <c r="D318" s="11" t="s">
        <v>1271</v>
      </c>
      <c r="E318" s="11" t="s">
        <v>1272</v>
      </c>
      <c r="F318" s="11" t="s">
        <v>1272</v>
      </c>
      <c r="G318" s="11" t="s">
        <v>1272</v>
      </c>
      <c r="H318" s="11" t="s">
        <v>1272</v>
      </c>
      <c r="I318" s="11" t="s">
        <v>1272</v>
      </c>
      <c r="J318" s="11" t="s">
        <v>1272</v>
      </c>
      <c r="K318" s="11" t="s">
        <v>1273</v>
      </c>
      <c r="L318" s="15" t="s">
        <v>1274</v>
      </c>
      <c r="M318" s="11"/>
      <c r="N318" s="11"/>
      <c r="O318" s="14"/>
      <c r="P318" s="13"/>
      <c r="Q318" s="13"/>
      <c r="R318" s="13"/>
      <c r="S318" s="13"/>
      <c r="T318" s="13"/>
      <c r="U318" s="13"/>
      <c r="V318" s="13"/>
      <c r="W318" s="13"/>
      <c r="X318" s="13"/>
      <c r="Y318" s="13"/>
      <c r="Z318" s="13"/>
      <c r="AA318" s="13"/>
      <c r="AB318" s="13"/>
      <c r="AC318" s="13"/>
      <c r="AD318" s="13"/>
      <c r="AE318" s="13"/>
      <c r="AF318" s="13"/>
      <c r="AG318" s="13"/>
      <c r="AH318" s="13"/>
      <c r="AI318" s="13"/>
      <c r="AJ318" s="13"/>
      <c r="AK318" s="13"/>
      <c r="AL318" s="13"/>
      <c r="AM318" s="13"/>
      <c r="AN318" s="13"/>
      <c r="AO318" s="23"/>
      <c r="AP318" s="23"/>
      <c r="AQ318" s="23"/>
      <c r="AR318" s="13"/>
      <c r="AS318" s="13"/>
      <c r="AT318" s="13"/>
      <c r="AU318" s="13"/>
      <c r="AV318" s="13"/>
      <c r="AW318" s="13"/>
      <c r="AX318" s="23"/>
      <c r="AY318" s="13"/>
      <c r="AZ318" s="29"/>
      <c r="BA318" s="13"/>
      <c r="BB318" s="13"/>
      <c r="BC318" s="13"/>
      <c r="BD318" s="13"/>
      <c r="BE318" s="13"/>
      <c r="BF318" s="13"/>
      <c r="BG318" s="13"/>
      <c r="BH318" s="13"/>
      <c r="BI318" s="13"/>
      <c r="BJ318" s="13"/>
      <c r="BK318" s="13"/>
      <c r="BL318" s="13"/>
      <c r="BM318" s="13"/>
      <c r="BN318" s="13"/>
      <c r="BO318" s="13"/>
      <c r="BP318" s="13"/>
      <c r="BQ318" s="13"/>
      <c r="BR318" s="13"/>
      <c r="BS318" s="13"/>
      <c r="BT318" s="13"/>
      <c r="BU318" s="13"/>
      <c r="BV318" s="13"/>
      <c r="BW318" s="13"/>
      <c r="BX318" s="13"/>
      <c r="BY318" s="13"/>
      <c r="BZ318" s="13"/>
    </row>
    <row r="319">
      <c r="A319" s="11" t="s">
        <v>1275</v>
      </c>
      <c r="B319" s="11" t="s">
        <v>1276</v>
      </c>
      <c r="C319" s="11" t="str">
        <f>IFERROR(__xludf.DUMMYFUNCTION("LOWER(TRIM(REGEXREPLACE(B319, ""[[:punct:]]"", """")))"),"global information and structure tensor guided collaborative representation for anomaly detection")</f>
        <v>global information and structure tensor guided collaborative representation for anomaly detection</v>
      </c>
      <c r="D319" s="11" t="s">
        <v>1277</v>
      </c>
      <c r="E319" s="11" t="s">
        <v>1272</v>
      </c>
      <c r="F319" s="11" t="s">
        <v>1272</v>
      </c>
      <c r="G319" s="11" t="s">
        <v>1272</v>
      </c>
      <c r="H319" s="11" t="s">
        <v>1272</v>
      </c>
      <c r="I319" s="11" t="s">
        <v>1272</v>
      </c>
      <c r="J319" s="11" t="s">
        <v>1272</v>
      </c>
      <c r="K319" s="11" t="s">
        <v>1278</v>
      </c>
      <c r="L319" s="15" t="s">
        <v>1279</v>
      </c>
      <c r="M319" s="11"/>
      <c r="N319" s="11"/>
      <c r="O319" s="14"/>
      <c r="P319" s="13"/>
      <c r="Q319" s="13"/>
      <c r="R319" s="13"/>
      <c r="S319" s="13"/>
      <c r="T319" s="13"/>
      <c r="U319" s="13"/>
      <c r="V319" s="13"/>
      <c r="W319" s="13"/>
      <c r="X319" s="13"/>
      <c r="Y319" s="13"/>
      <c r="Z319" s="13"/>
      <c r="AA319" s="13"/>
      <c r="AB319" s="13"/>
      <c r="AC319" s="13"/>
      <c r="AD319" s="13"/>
      <c r="AE319" s="13"/>
      <c r="AF319" s="13"/>
      <c r="AG319" s="13"/>
      <c r="AH319" s="13"/>
      <c r="AI319" s="13"/>
      <c r="AJ319" s="13"/>
      <c r="AK319" s="13"/>
      <c r="AL319" s="13"/>
      <c r="AM319" s="13"/>
      <c r="AN319" s="13"/>
      <c r="AO319" s="23"/>
      <c r="AP319" s="23"/>
      <c r="AQ319" s="13"/>
      <c r="AR319" s="13"/>
      <c r="AS319" s="13"/>
      <c r="AT319" s="13"/>
      <c r="AU319" s="13"/>
      <c r="AV319" s="23"/>
      <c r="AW319" s="23"/>
      <c r="AX319" s="13"/>
      <c r="AY319" s="13"/>
      <c r="AZ319" s="29"/>
      <c r="BA319" s="13"/>
      <c r="BB319" s="13"/>
      <c r="BC319" s="13"/>
      <c r="BD319" s="13"/>
      <c r="BE319" s="13"/>
      <c r="BF319" s="13"/>
      <c r="BG319" s="13"/>
      <c r="BH319" s="13"/>
      <c r="BI319" s="13"/>
      <c r="BJ319" s="13"/>
      <c r="BK319" s="13"/>
      <c r="BL319" s="13"/>
      <c r="BM319" s="13"/>
      <c r="BN319" s="13"/>
      <c r="BO319" s="13"/>
      <c r="BP319" s="13"/>
      <c r="BQ319" s="13"/>
      <c r="BR319" s="13"/>
      <c r="BS319" s="13"/>
      <c r="BT319" s="13"/>
      <c r="BU319" s="13"/>
      <c r="BV319" s="13"/>
      <c r="BW319" s="13"/>
      <c r="BX319" s="13"/>
      <c r="BY319" s="13"/>
      <c r="BZ319" s="13"/>
    </row>
    <row r="320">
      <c r="A320" s="18" t="s">
        <v>1280</v>
      </c>
      <c r="B320" s="18" t="s">
        <v>1281</v>
      </c>
      <c r="C320" s="18" t="str">
        <f>IFERROR(__xludf.DUMMYFUNCTION("LOWER(TRIM(REGEXREPLACE(B320, ""[[:punct:]]"", """")))"),"marine soundscape forecasting a deep learningbased approach")</f>
        <v>marine soundscape forecasting a deep learningbased approach</v>
      </c>
      <c r="D320" s="18" t="s">
        <v>1282</v>
      </c>
      <c r="E320" s="18" t="s">
        <v>1272</v>
      </c>
      <c r="F320" s="18" t="s">
        <v>1272</v>
      </c>
      <c r="G320" s="18" t="s">
        <v>1272</v>
      </c>
      <c r="H320" s="18" t="s">
        <v>1272</v>
      </c>
      <c r="I320" s="18" t="s">
        <v>1272</v>
      </c>
      <c r="J320" s="18" t="s">
        <v>1272</v>
      </c>
      <c r="K320" s="18" t="s">
        <v>1283</v>
      </c>
      <c r="L320" s="26" t="s">
        <v>17</v>
      </c>
      <c r="M320" s="26" t="s">
        <v>26</v>
      </c>
      <c r="N320" s="18"/>
      <c r="O320" s="14"/>
      <c r="P320" s="13"/>
      <c r="Q320" s="13"/>
      <c r="R320" s="13"/>
      <c r="S320" s="13"/>
      <c r="T320" s="13"/>
      <c r="U320" s="13"/>
      <c r="V320" s="13"/>
      <c r="W320" s="13"/>
      <c r="X320" s="13"/>
      <c r="Y320" s="13"/>
      <c r="Z320" s="13"/>
      <c r="AA320" s="13"/>
      <c r="AB320" s="13"/>
      <c r="AC320" s="13"/>
      <c r="AD320" s="13"/>
      <c r="AE320" s="13"/>
      <c r="AF320" s="13"/>
      <c r="AG320" s="13"/>
      <c r="AH320" s="13"/>
      <c r="AI320" s="13"/>
      <c r="AJ320" s="13"/>
      <c r="AK320" s="13"/>
      <c r="AL320" s="13"/>
      <c r="AM320" s="13"/>
      <c r="AN320" s="13"/>
      <c r="AO320" s="23"/>
      <c r="AP320" s="23"/>
      <c r="AQ320" s="13"/>
      <c r="AR320" s="13"/>
      <c r="AS320" s="13"/>
      <c r="AT320" s="13"/>
      <c r="AU320" s="13"/>
      <c r="AV320" s="13"/>
      <c r="AW320" s="13"/>
      <c r="AX320" s="23"/>
      <c r="AY320" s="13"/>
      <c r="AZ320" s="29"/>
      <c r="BA320" s="13"/>
      <c r="BB320" s="13"/>
      <c r="BC320" s="13"/>
      <c r="BD320" s="13"/>
      <c r="BE320" s="13"/>
      <c r="BF320" s="13"/>
      <c r="BG320" s="13"/>
      <c r="BH320" s="13"/>
      <c r="BI320" s="13"/>
      <c r="BJ320" s="13"/>
      <c r="BK320" s="13"/>
      <c r="BL320" s="13"/>
      <c r="BM320" s="13"/>
      <c r="BN320" s="13"/>
      <c r="BO320" s="13"/>
      <c r="BP320" s="13"/>
      <c r="BQ320" s="13"/>
      <c r="BR320" s="13"/>
      <c r="BS320" s="13"/>
      <c r="BT320" s="13"/>
      <c r="BU320" s="13"/>
      <c r="BV320" s="13"/>
      <c r="BW320" s="13"/>
      <c r="BX320" s="13"/>
      <c r="BY320" s="13"/>
      <c r="BZ320" s="13"/>
    </row>
    <row r="321">
      <c r="A321" s="11" t="s">
        <v>1284</v>
      </c>
      <c r="B321" s="11" t="s">
        <v>1285</v>
      </c>
      <c r="C321" s="11" t="str">
        <f>IFERROR(__xludf.DUMMYFUNCTION("LOWER(TRIM(REGEXREPLACE(B321, ""[[:punct:]]"", """")))"),"a conceptual framework for measuring ecological novelty")</f>
        <v>a conceptual framework for measuring ecological novelty</v>
      </c>
      <c r="D321" s="11" t="s">
        <v>1286</v>
      </c>
      <c r="E321" s="11" t="s">
        <v>1272</v>
      </c>
      <c r="F321" s="11" t="s">
        <v>1272</v>
      </c>
      <c r="G321" s="11" t="s">
        <v>1272</v>
      </c>
      <c r="H321" s="11" t="s">
        <v>1272</v>
      </c>
      <c r="I321" s="11" t="s">
        <v>1272</v>
      </c>
      <c r="J321" s="11" t="s">
        <v>1272</v>
      </c>
      <c r="K321" s="11" t="s">
        <v>1287</v>
      </c>
      <c r="L321" s="15" t="s">
        <v>17</v>
      </c>
      <c r="M321" s="15" t="s">
        <v>1288</v>
      </c>
      <c r="N321" s="11"/>
      <c r="O321" s="14"/>
      <c r="P321" s="13"/>
      <c r="Q321" s="13"/>
      <c r="R321" s="13"/>
      <c r="S321" s="13"/>
      <c r="T321" s="13"/>
      <c r="U321" s="13"/>
      <c r="V321" s="13"/>
      <c r="W321" s="13"/>
      <c r="X321" s="13"/>
      <c r="Y321" s="13"/>
      <c r="Z321" s="13"/>
      <c r="AA321" s="13"/>
      <c r="AB321" s="13"/>
      <c r="AC321" s="13"/>
      <c r="AD321" s="13"/>
      <c r="AE321" s="13"/>
      <c r="AF321" s="13"/>
      <c r="AG321" s="13"/>
      <c r="AH321" s="13"/>
      <c r="AI321" s="13"/>
      <c r="AJ321" s="13"/>
      <c r="AK321" s="13"/>
      <c r="AL321" s="13"/>
      <c r="AM321" s="13"/>
      <c r="AN321" s="13"/>
      <c r="AO321" s="23"/>
      <c r="AP321" s="23"/>
      <c r="AQ321" s="23"/>
      <c r="AR321" s="13"/>
      <c r="AS321" s="13"/>
      <c r="AT321" s="13"/>
      <c r="AU321" s="13"/>
      <c r="AV321" s="13"/>
      <c r="AW321" s="13"/>
      <c r="AX321" s="13"/>
      <c r="AY321" s="13"/>
      <c r="AZ321" s="29"/>
      <c r="BA321" s="13"/>
      <c r="BB321" s="13"/>
      <c r="BC321" s="13"/>
      <c r="BD321" s="13"/>
      <c r="BE321" s="13"/>
      <c r="BF321" s="13"/>
      <c r="BG321" s="13"/>
      <c r="BH321" s="13"/>
      <c r="BI321" s="13"/>
      <c r="BJ321" s="13"/>
      <c r="BK321" s="13"/>
      <c r="BL321" s="13"/>
      <c r="BM321" s="13"/>
      <c r="BN321" s="13"/>
      <c r="BO321" s="13"/>
      <c r="BP321" s="13"/>
      <c r="BQ321" s="13"/>
      <c r="BR321" s="13"/>
      <c r="BS321" s="13"/>
      <c r="BT321" s="13"/>
      <c r="BU321" s="13"/>
      <c r="BV321" s="13"/>
      <c r="BW321" s="13"/>
      <c r="BX321" s="13"/>
      <c r="BY321" s="13"/>
      <c r="BZ321" s="13"/>
    </row>
    <row r="322">
      <c r="A322" s="18" t="s">
        <v>1289</v>
      </c>
      <c r="B322" s="18" t="s">
        <v>1290</v>
      </c>
      <c r="C322" s="18" t="str">
        <f>IFERROR(__xludf.DUMMYFUNCTION("LOWER(TRIM(REGEXREPLACE(B322, ""[[:punct:]]"", """")))"),"unsupervisedexplainable anomaly detection in largescale estuarine acoustic telemetry data")</f>
        <v>unsupervisedexplainable anomaly detection in largescale estuarine acoustic telemetry data</v>
      </c>
      <c r="D322" s="18" t="s">
        <v>1282</v>
      </c>
      <c r="E322" s="18" t="s">
        <v>1272</v>
      </c>
      <c r="F322" s="18" t="s">
        <v>1272</v>
      </c>
      <c r="G322" s="18" t="s">
        <v>1272</v>
      </c>
      <c r="H322" s="18" t="s">
        <v>1272</v>
      </c>
      <c r="I322" s="18" t="s">
        <v>1272</v>
      </c>
      <c r="J322" s="18" t="s">
        <v>1272</v>
      </c>
      <c r="K322" s="18" t="s">
        <v>1291</v>
      </c>
      <c r="L322" s="26" t="s">
        <v>17</v>
      </c>
      <c r="M322" s="26" t="s">
        <v>26</v>
      </c>
      <c r="N322" s="18"/>
      <c r="O322" s="14"/>
      <c r="P322" s="13"/>
      <c r="Q322" s="13"/>
      <c r="R322" s="13"/>
      <c r="S322" s="13"/>
      <c r="T322" s="13"/>
      <c r="U322" s="13"/>
      <c r="V322" s="13"/>
      <c r="W322" s="13"/>
      <c r="X322" s="13"/>
      <c r="Y322" s="13"/>
      <c r="Z322" s="13"/>
      <c r="AA322" s="13"/>
      <c r="AB322" s="13"/>
      <c r="AC322" s="13"/>
      <c r="AD322" s="13"/>
      <c r="AE322" s="13"/>
      <c r="AF322" s="13"/>
      <c r="AG322" s="13"/>
      <c r="AH322" s="13"/>
      <c r="AI322" s="13"/>
      <c r="AJ322" s="13"/>
      <c r="AK322" s="13"/>
      <c r="AL322" s="13"/>
      <c r="AM322" s="13"/>
      <c r="AN322" s="13"/>
      <c r="AO322" s="23"/>
      <c r="AP322" s="23"/>
      <c r="AQ322" s="13"/>
      <c r="AR322" s="13"/>
      <c r="AS322" s="13"/>
      <c r="AT322" s="13"/>
      <c r="AU322" s="13"/>
      <c r="AV322" s="13"/>
      <c r="AW322" s="13"/>
      <c r="AX322" s="23"/>
      <c r="AY322" s="13"/>
      <c r="AZ322" s="29"/>
      <c r="BA322" s="13"/>
      <c r="BB322" s="13"/>
      <c r="BC322" s="13"/>
      <c r="BD322" s="13"/>
      <c r="BE322" s="13"/>
      <c r="BF322" s="13"/>
      <c r="BG322" s="13"/>
      <c r="BH322" s="13"/>
      <c r="BI322" s="13"/>
      <c r="BJ322" s="13"/>
      <c r="BK322" s="13"/>
      <c r="BL322" s="13"/>
      <c r="BM322" s="13"/>
      <c r="BN322" s="13"/>
      <c r="BO322" s="13"/>
      <c r="BP322" s="13"/>
      <c r="BQ322" s="13"/>
      <c r="BR322" s="13"/>
      <c r="BS322" s="13"/>
      <c r="BT322" s="13"/>
      <c r="BU322" s="13"/>
      <c r="BV322" s="13"/>
      <c r="BW322" s="13"/>
      <c r="BX322" s="13"/>
      <c r="BY322" s="13"/>
      <c r="BZ322" s="13"/>
    </row>
    <row r="323">
      <c r="A323" s="18" t="s">
        <v>1292</v>
      </c>
      <c r="B323" s="18" t="s">
        <v>1293</v>
      </c>
      <c r="C323" s="18" t="str">
        <f>IFERROR(__xludf.DUMMYFUNCTION("LOWER(TRIM(REGEXREPLACE(B323, ""[[:punct:]]"", """")))"),"toward phytoplankton parasite detection using autoencoders")</f>
        <v>toward phytoplankton parasite detection using autoencoders</v>
      </c>
      <c r="D323" s="18" t="s">
        <v>1294</v>
      </c>
      <c r="E323" s="18" t="s">
        <v>1272</v>
      </c>
      <c r="F323" s="18" t="s">
        <v>1272</v>
      </c>
      <c r="G323" s="18" t="s">
        <v>1272</v>
      </c>
      <c r="H323" s="18" t="s">
        <v>1272</v>
      </c>
      <c r="I323" s="18" t="s">
        <v>1272</v>
      </c>
      <c r="J323" s="18" t="s">
        <v>1272</v>
      </c>
      <c r="K323" s="18" t="s">
        <v>1295</v>
      </c>
      <c r="L323" s="26" t="s">
        <v>17</v>
      </c>
      <c r="M323" s="26" t="s">
        <v>26</v>
      </c>
      <c r="N323" s="18"/>
      <c r="O323" s="14"/>
      <c r="P323" s="13"/>
      <c r="Q323" s="13"/>
      <c r="R323" s="13"/>
      <c r="S323" s="13"/>
      <c r="T323" s="13"/>
      <c r="U323" s="13"/>
      <c r="V323" s="13"/>
      <c r="W323" s="13"/>
      <c r="X323" s="13"/>
      <c r="Y323" s="13"/>
      <c r="Z323" s="13"/>
      <c r="AA323" s="13"/>
      <c r="AB323" s="13"/>
      <c r="AC323" s="13"/>
      <c r="AD323" s="13"/>
      <c r="AE323" s="13"/>
      <c r="AF323" s="13"/>
      <c r="AG323" s="13"/>
      <c r="AH323" s="13"/>
      <c r="AI323" s="13"/>
      <c r="AJ323" s="13"/>
      <c r="AK323" s="13"/>
      <c r="AL323" s="13"/>
      <c r="AM323" s="13"/>
      <c r="AN323" s="13"/>
      <c r="AO323" s="23"/>
      <c r="AP323" s="23"/>
      <c r="AQ323" s="23"/>
      <c r="AR323" s="13"/>
      <c r="AS323" s="13"/>
      <c r="AT323" s="13"/>
      <c r="AU323" s="13"/>
      <c r="AV323" s="13"/>
      <c r="AW323" s="13"/>
      <c r="AX323" s="23"/>
      <c r="AY323" s="13"/>
      <c r="AZ323" s="29"/>
      <c r="BA323" s="13"/>
      <c r="BB323" s="13"/>
      <c r="BC323" s="13"/>
      <c r="BD323" s="13"/>
      <c r="BE323" s="13"/>
      <c r="BF323" s="13"/>
      <c r="BG323" s="13"/>
      <c r="BH323" s="13"/>
      <c r="BI323" s="13"/>
      <c r="BJ323" s="13"/>
      <c r="BK323" s="13"/>
      <c r="BL323" s="13"/>
      <c r="BM323" s="13"/>
      <c r="BN323" s="13"/>
      <c r="BO323" s="13"/>
      <c r="BP323" s="13"/>
      <c r="BQ323" s="13"/>
      <c r="BR323" s="13"/>
      <c r="BS323" s="13"/>
      <c r="BT323" s="13"/>
      <c r="BU323" s="13"/>
      <c r="BV323" s="13"/>
      <c r="BW323" s="13"/>
      <c r="BX323" s="13"/>
      <c r="BY323" s="13"/>
      <c r="BZ323" s="13"/>
    </row>
    <row r="324">
      <c r="A324" s="11" t="s">
        <v>1296</v>
      </c>
      <c r="B324" s="11" t="s">
        <v>1297</v>
      </c>
      <c r="C324" s="11" t="str">
        <f>IFERROR(__xludf.DUMMYFUNCTION("LOWER(TRIM(REGEXREPLACE(B324, ""[[:punct:]]"", """")))"),"from vts monitoring to smart warnings big data applications in channel safety management")</f>
        <v>from vts monitoring to smart warnings big data applications in channel safety management</v>
      </c>
      <c r="D324" s="11" t="s">
        <v>1298</v>
      </c>
      <c r="E324" s="11" t="s">
        <v>1272</v>
      </c>
      <c r="F324" s="11" t="s">
        <v>1272</v>
      </c>
      <c r="G324" s="11" t="s">
        <v>1272</v>
      </c>
      <c r="H324" s="11" t="s">
        <v>1272</v>
      </c>
      <c r="I324" s="11" t="s">
        <v>1272</v>
      </c>
      <c r="J324" s="11" t="s">
        <v>1272</v>
      </c>
      <c r="K324" s="11" t="s">
        <v>1299</v>
      </c>
      <c r="L324" s="15" t="s">
        <v>1300</v>
      </c>
      <c r="M324" s="15"/>
      <c r="N324" s="11"/>
      <c r="O324" s="14"/>
      <c r="P324" s="13"/>
      <c r="Q324" s="13"/>
      <c r="R324" s="13"/>
      <c r="S324" s="13"/>
      <c r="T324" s="13"/>
      <c r="U324" s="13"/>
      <c r="V324" s="13"/>
      <c r="W324" s="13"/>
      <c r="X324" s="13"/>
      <c r="Y324" s="13"/>
      <c r="Z324" s="13"/>
      <c r="AA324" s="13"/>
      <c r="AB324" s="13"/>
      <c r="AC324" s="13"/>
      <c r="AD324" s="13"/>
      <c r="AE324" s="13"/>
      <c r="AF324" s="13"/>
      <c r="AG324" s="13"/>
      <c r="AH324" s="13"/>
      <c r="AI324" s="13"/>
      <c r="AJ324" s="13"/>
      <c r="AK324" s="13"/>
      <c r="AL324" s="13"/>
      <c r="AM324" s="13"/>
      <c r="AN324" s="13"/>
      <c r="AO324" s="23"/>
      <c r="AP324" s="23"/>
      <c r="AQ324" s="23"/>
      <c r="AR324" s="13"/>
      <c r="AS324" s="13"/>
      <c r="AT324" s="13"/>
      <c r="AU324" s="13"/>
      <c r="AV324" s="13"/>
      <c r="AW324" s="13"/>
      <c r="AX324" s="23"/>
      <c r="AY324" s="13"/>
      <c r="AZ324" s="29"/>
      <c r="BA324" s="13"/>
      <c r="BB324" s="13"/>
      <c r="BC324" s="13"/>
      <c r="BD324" s="13"/>
      <c r="BE324" s="13"/>
      <c r="BF324" s="13"/>
      <c r="BG324" s="13"/>
      <c r="BH324" s="13"/>
      <c r="BI324" s="13"/>
      <c r="BJ324" s="13"/>
      <c r="BK324" s="13"/>
      <c r="BL324" s="13"/>
      <c r="BM324" s="13"/>
      <c r="BN324" s="13"/>
      <c r="BO324" s="13"/>
      <c r="BP324" s="13"/>
      <c r="BQ324" s="13"/>
      <c r="BR324" s="13"/>
      <c r="BS324" s="13"/>
      <c r="BT324" s="13"/>
      <c r="BU324" s="13"/>
      <c r="BV324" s="13"/>
      <c r="BW324" s="13"/>
      <c r="BX324" s="13"/>
      <c r="BY324" s="13"/>
      <c r="BZ324" s="13"/>
    </row>
    <row r="325">
      <c r="A325" s="11" t="s">
        <v>1301</v>
      </c>
      <c r="B325" s="11" t="s">
        <v>1302</v>
      </c>
      <c r="C325" s="11" t="str">
        <f>IFERROR(__xludf.DUMMYFUNCTION("LOWER(TRIM(REGEXREPLACE(B325, ""[[:punct:]]"", """")))"),"monitoring and prediction of the spongy moth lymantria dispar outbreaks in mountain s landscape using a combination of sentinel2 images and nonlinear time series model")</f>
        <v>monitoring and prediction of the spongy moth lymantria dispar outbreaks in mountain s landscape using a combination of sentinel2 images and nonlinear time series model</v>
      </c>
      <c r="D325" s="11" t="s">
        <v>1303</v>
      </c>
      <c r="E325" s="11" t="s">
        <v>1272</v>
      </c>
      <c r="F325" s="11" t="s">
        <v>1272</v>
      </c>
      <c r="G325" s="11" t="s">
        <v>1272</v>
      </c>
      <c r="H325" s="11" t="s">
        <v>1272</v>
      </c>
      <c r="I325" s="11" t="s">
        <v>1272</v>
      </c>
      <c r="J325" s="11" t="s">
        <v>1272</v>
      </c>
      <c r="K325" s="11" t="s">
        <v>1304</v>
      </c>
      <c r="L325" s="15" t="s">
        <v>1305</v>
      </c>
      <c r="M325" s="15"/>
      <c r="N325" s="11"/>
      <c r="O325" s="14"/>
      <c r="P325" s="13"/>
      <c r="Q325" s="13"/>
      <c r="R325" s="13"/>
      <c r="S325" s="13"/>
      <c r="T325" s="13"/>
      <c r="U325" s="13"/>
      <c r="V325" s="13"/>
      <c r="W325" s="13"/>
      <c r="X325" s="13"/>
      <c r="Y325" s="13"/>
      <c r="Z325" s="13"/>
      <c r="AA325" s="13"/>
      <c r="AB325" s="13"/>
      <c r="AC325" s="13"/>
      <c r="AD325" s="13"/>
      <c r="AE325" s="13"/>
      <c r="AF325" s="13"/>
      <c r="AG325" s="13"/>
      <c r="AH325" s="13"/>
      <c r="AI325" s="13"/>
      <c r="AJ325" s="13"/>
      <c r="AK325" s="13"/>
      <c r="AL325" s="13"/>
      <c r="AM325" s="13"/>
      <c r="AN325" s="13"/>
      <c r="AO325" s="23"/>
      <c r="AP325" s="23"/>
      <c r="AQ325" s="13"/>
      <c r="AR325" s="13"/>
      <c r="AS325" s="13"/>
      <c r="AT325" s="13"/>
      <c r="AU325" s="13"/>
      <c r="AV325" s="13"/>
      <c r="AW325" s="13"/>
      <c r="AX325" s="23"/>
      <c r="AY325" s="13"/>
      <c r="AZ325" s="29"/>
      <c r="BA325" s="13"/>
      <c r="BB325" s="13"/>
      <c r="BC325" s="13"/>
      <c r="BD325" s="13"/>
      <c r="BE325" s="13"/>
      <c r="BF325" s="13"/>
      <c r="BG325" s="13"/>
      <c r="BH325" s="13"/>
      <c r="BI325" s="13"/>
      <c r="BJ325" s="13"/>
      <c r="BK325" s="13"/>
      <c r="BL325" s="13"/>
      <c r="BM325" s="13"/>
      <c r="BN325" s="13"/>
      <c r="BO325" s="13"/>
      <c r="BP325" s="13"/>
      <c r="BQ325" s="13"/>
      <c r="BR325" s="13"/>
      <c r="BS325" s="13"/>
      <c r="BT325" s="13"/>
      <c r="BU325" s="13"/>
      <c r="BV325" s="13"/>
      <c r="BW325" s="13"/>
      <c r="BX325" s="13"/>
      <c r="BY325" s="13"/>
      <c r="BZ325" s="13"/>
    </row>
  </sheetData>
  <drawing r:id="rId1"/>
</worksheet>
</file>